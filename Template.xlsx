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noppa\Downloads\"/>
    </mc:Choice>
  </mc:AlternateContent>
  <xr:revisionPtr revIDLastSave="0" documentId="8_{C889016A-CD47-4560-9514-0FFF6E0096D8}" xr6:coauthVersionLast="47" xr6:coauthVersionMax="47" xr10:uidLastSave="{00000000-0000-0000-0000-000000000000}"/>
  <bookViews>
    <workbookView xWindow="-120" yWindow="0" windowWidth="19890" windowHeight="15585" firstSheet="4" xr2:uid="{00000000-000D-0000-FFFF-FFFF00000000}"/>
  </bookViews>
  <sheets>
    <sheet name="Cover_Info" sheetId="5" r:id="rId1"/>
    <sheet name="Utilities &amp; Energy (Scope 1, 2)" sheetId="1" r:id="rId2"/>
    <sheet name="Maintenance &amp; Fugitive (Scope1)" sheetId="3" r:id="rId3"/>
    <sheet name="Scope 3" sheetId="7" r:id="rId4"/>
    <sheet name="Production &amp; Circular" sheetId="2" r:id="rId5"/>
    <sheet name="Master" sheetId="4" r:id="rId6"/>
  </sheets>
  <definedNames>
    <definedName name="GMP">Master!$E$1:$F$6</definedName>
    <definedName name="M_S3">Master!$A$15:$C$37</definedName>
    <definedName name="MasterData">Master!$A$1:$C$11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 a="1"/>
  <c r="L3" i="2" s="1"/>
  <c r="L4" i="2" a="1"/>
  <c r="L4" i="2" s="1"/>
  <c r="E6" i="2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11" i="1"/>
  <c r="D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E9" i="2"/>
  <c r="F9" i="2" s="1"/>
  <c r="E3" i="2"/>
  <c r="F3" i="2" s="1"/>
  <c r="E4" i="2"/>
  <c r="F4" i="2" s="1"/>
  <c r="E500" i="2"/>
  <c r="F500" i="2" s="1"/>
  <c r="E2" i="2"/>
  <c r="F2" i="2" s="1"/>
  <c r="E5" i="2"/>
  <c r="F5" i="2" s="1"/>
  <c r="E7" i="2"/>
  <c r="F7" i="2" s="1"/>
  <c r="E8" i="2"/>
  <c r="F8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E20" i="2"/>
  <c r="E21" i="2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E31" i="2"/>
  <c r="F31" i="2" s="1"/>
  <c r="E32" i="2"/>
  <c r="F32" i="2" s="1"/>
  <c r="E33" i="2"/>
  <c r="F33" i="2" s="1"/>
  <c r="E34" i="2"/>
  <c r="F34" i="2" s="1"/>
  <c r="E35" i="2"/>
  <c r="E36" i="2"/>
  <c r="E37" i="2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E52" i="2"/>
  <c r="E53" i="2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E68" i="2"/>
  <c r="E69" i="2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E84" i="2"/>
  <c r="E85" i="2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E100" i="2"/>
  <c r="E101" i="2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E116" i="2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E132" i="2"/>
  <c r="E133" i="2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E143" i="2"/>
  <c r="F143" i="2" s="1"/>
  <c r="E144" i="2"/>
  <c r="F144" i="2" s="1"/>
  <c r="E145" i="2"/>
  <c r="F145" i="2" s="1"/>
  <c r="E146" i="2"/>
  <c r="F146" i="2" s="1"/>
  <c r="E147" i="2"/>
  <c r="E148" i="2"/>
  <c r="E149" i="2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E164" i="2"/>
  <c r="E165" i="2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E175" i="2"/>
  <c r="F175" i="2" s="1"/>
  <c r="E176" i="2"/>
  <c r="F176" i="2" s="1"/>
  <c r="E177" i="2"/>
  <c r="F177" i="2" s="1"/>
  <c r="E178" i="2"/>
  <c r="F178" i="2" s="1"/>
  <c r="E179" i="2"/>
  <c r="E180" i="2"/>
  <c r="E181" i="2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E196" i="2"/>
  <c r="E197" i="2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E208" i="2"/>
  <c r="F208" i="2" s="1"/>
  <c r="E209" i="2"/>
  <c r="F209" i="2" s="1"/>
  <c r="E210" i="2"/>
  <c r="F210" i="2" s="1"/>
  <c r="E211" i="2"/>
  <c r="E212" i="2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E228" i="2"/>
  <c r="E229" i="2"/>
  <c r="F229" i="2" s="1"/>
  <c r="E230" i="2"/>
  <c r="E231" i="2"/>
  <c r="E232" i="2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E244" i="2"/>
  <c r="E245" i="2"/>
  <c r="F245" i="2" s="1"/>
  <c r="E246" i="2"/>
  <c r="F246" i="2" s="1"/>
  <c r="E247" i="2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E260" i="2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E270" i="2"/>
  <c r="F270" i="2" s="1"/>
  <c r="E271" i="2"/>
  <c r="F271" i="2" s="1"/>
  <c r="E272" i="2"/>
  <c r="F272" i="2" s="1"/>
  <c r="E273" i="2"/>
  <c r="F273" i="2" s="1"/>
  <c r="E274" i="2"/>
  <c r="E275" i="2"/>
  <c r="E276" i="2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E292" i="2"/>
  <c r="E293" i="2"/>
  <c r="F293" i="2" s="1"/>
  <c r="E294" i="2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E308" i="2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E324" i="2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E340" i="2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E356" i="2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E372" i="2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E388" i="2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E404" i="2"/>
  <c r="E405" i="2"/>
  <c r="F405" i="2" s="1"/>
  <c r="E406" i="2"/>
  <c r="E407" i="2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E420" i="2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E436" i="2"/>
  <c r="E437" i="2"/>
  <c r="F437" i="2" s="1"/>
  <c r="E438" i="2"/>
  <c r="F438" i="2" s="1"/>
  <c r="E439" i="2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E452" i="2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E468" i="2"/>
  <c r="E469" i="2"/>
  <c r="F469" i="2" s="1"/>
  <c r="E470" i="2"/>
  <c r="E471" i="2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E478" i="2"/>
  <c r="F478" i="2" s="1"/>
  <c r="E479" i="2"/>
  <c r="E480" i="2"/>
  <c r="E481" i="2"/>
  <c r="F481" i="2" s="1"/>
  <c r="E482" i="2"/>
  <c r="F482" i="2" s="1"/>
  <c r="E483" i="2"/>
  <c r="E484" i="2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6" i="2"/>
  <c r="F19" i="2"/>
  <c r="F20" i="2"/>
  <c r="F21" i="2"/>
  <c r="F30" i="2"/>
  <c r="F35" i="2"/>
  <c r="F36" i="2"/>
  <c r="F37" i="2"/>
  <c r="F51" i="2"/>
  <c r="F52" i="2"/>
  <c r="F53" i="2"/>
  <c r="F67" i="2"/>
  <c r="F68" i="2"/>
  <c r="F69" i="2"/>
  <c r="F83" i="2"/>
  <c r="F84" i="2"/>
  <c r="F85" i="2"/>
  <c r="F99" i="2"/>
  <c r="F100" i="2"/>
  <c r="F101" i="2"/>
  <c r="F115" i="2"/>
  <c r="F116" i="2"/>
  <c r="F131" i="2"/>
  <c r="F132" i="2"/>
  <c r="F133" i="2"/>
  <c r="F142" i="2"/>
  <c r="F147" i="2"/>
  <c r="F148" i="2"/>
  <c r="F149" i="2"/>
  <c r="F163" i="2"/>
  <c r="F164" i="2"/>
  <c r="F165" i="2"/>
  <c r="F174" i="2"/>
  <c r="F179" i="2"/>
  <c r="F180" i="2"/>
  <c r="F181" i="2"/>
  <c r="F195" i="2"/>
  <c r="F196" i="2"/>
  <c r="F197" i="2"/>
  <c r="F207" i="2"/>
  <c r="F211" i="2"/>
  <c r="F212" i="2"/>
  <c r="F227" i="2"/>
  <c r="F228" i="2"/>
  <c r="F230" i="2"/>
  <c r="F231" i="2"/>
  <c r="F232" i="2"/>
  <c r="F243" i="2"/>
  <c r="F244" i="2"/>
  <c r="F247" i="2"/>
  <c r="F259" i="2"/>
  <c r="F260" i="2"/>
  <c r="F269" i="2"/>
  <c r="F274" i="2"/>
  <c r="F275" i="2"/>
  <c r="F276" i="2"/>
  <c r="F291" i="2"/>
  <c r="F292" i="2"/>
  <c r="F294" i="2"/>
  <c r="F307" i="2"/>
  <c r="F308" i="2"/>
  <c r="F323" i="2"/>
  <c r="F324" i="2"/>
  <c r="F339" i="2"/>
  <c r="F340" i="2"/>
  <c r="F355" i="2"/>
  <c r="F356" i="2"/>
  <c r="F371" i="2"/>
  <c r="F372" i="2"/>
  <c r="F387" i="2"/>
  <c r="F388" i="2"/>
  <c r="F403" i="2"/>
  <c r="F404" i="2"/>
  <c r="F406" i="2"/>
  <c r="F407" i="2"/>
  <c r="F413" i="2"/>
  <c r="F419" i="2"/>
  <c r="F420" i="2"/>
  <c r="F435" i="2"/>
  <c r="F436" i="2"/>
  <c r="F439" i="2"/>
  <c r="F451" i="2"/>
  <c r="F452" i="2"/>
  <c r="F467" i="2"/>
  <c r="F468" i="2"/>
  <c r="F470" i="2"/>
  <c r="F471" i="2"/>
  <c r="F477" i="2"/>
  <c r="F479" i="2"/>
  <c r="F480" i="2"/>
  <c r="F483" i="2"/>
  <c r="F484" i="2"/>
  <c r="F49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<sst xmlns="http://schemas.openxmlformats.org/spreadsheetml/2006/main" count="142" uniqueCount="91">
  <si>
    <t>รายการ</t>
  </si>
  <si>
    <t>ข้อมูลที่ต้องกรอก</t>
  </si>
  <si>
    <t>ชื่อบริษัท</t>
  </si>
  <si>
    <t>รอบระยะเวลาที่รายงาน</t>
  </si>
  <si>
    <t>ขอบเขตการรายงาน</t>
  </si>
  <si>
    <t>วัตถุประสงค์</t>
  </si>
  <si>
    <t>Date</t>
  </si>
  <si>
    <t>Activity Type</t>
  </si>
  <si>
    <t>Quantity</t>
  </si>
  <si>
    <t>Unit (Auto)</t>
  </si>
  <si>
    <t>Process/Department</t>
  </si>
  <si>
    <t>Source/Evidence2</t>
  </si>
  <si>
    <t>Equipment ID</t>
  </si>
  <si>
    <t>Refrigerant Type</t>
  </si>
  <si>
    <t>Filled Quantity (kg)</t>
  </si>
  <si>
    <t xml:space="preserve"> GWP</t>
  </si>
  <si>
    <t>Maintenance Date</t>
  </si>
  <si>
    <t>Activity Name</t>
  </si>
  <si>
    <t>Category</t>
  </si>
  <si>
    <t>Unit</t>
  </si>
  <si>
    <t>Product Name</t>
  </si>
  <si>
    <t>Total Output Mass (kg)</t>
  </si>
  <si>
    <t>Circular Feedstock Mass (kg)</t>
  </si>
  <si>
    <t>Process Yield (%)</t>
  </si>
  <si>
    <t>Net Circular Mass (kg)</t>
  </si>
  <si>
    <t>Circular Content (%)</t>
  </si>
  <si>
    <t>Feedstock Type</t>
  </si>
  <si>
    <t>Certification No.</t>
  </si>
  <si>
    <t>HDPE</t>
  </si>
  <si>
    <t>GPPS</t>
  </si>
  <si>
    <t>Total Input Required</t>
  </si>
  <si>
    <t>Total Process Waste</t>
  </si>
  <si>
    <t>Unit (หน่วยแนะนำ)</t>
  </si>
  <si>
    <t>ประเภทพลังงาน</t>
  </si>
  <si>
    <t>สารทำความเย็น (Refrigerant)</t>
  </si>
  <si>
    <t>ค่า GWP (kgCO2​e/kg)</t>
  </si>
  <si>
    <t>Electricity</t>
  </si>
  <si>
    <t>kWh</t>
  </si>
  <si>
    <t>พลังงานไฟฟ้า</t>
  </si>
  <si>
    <t>R-32</t>
  </si>
  <si>
    <t>Natural gas</t>
  </si>
  <si>
    <t>scf</t>
  </si>
  <si>
    <t>พลังงานก๊าซ</t>
  </si>
  <si>
    <t>R-134a</t>
  </si>
  <si>
    <t>LPG</t>
  </si>
  <si>
    <t>kg</t>
  </si>
  <si>
    <t>R-22</t>
  </si>
  <si>
    <t>Fuel oil A</t>
  </si>
  <si>
    <t>litre</t>
  </si>
  <si>
    <t>พลังงานของเหลว</t>
  </si>
  <si>
    <t>R-410A</t>
  </si>
  <si>
    <t>Fuel oil C</t>
  </si>
  <si>
    <t>R-404A</t>
  </si>
  <si>
    <t>Diesel (Gas/Diesel oil)</t>
  </si>
  <si>
    <t>Jet Kerosene</t>
  </si>
  <si>
    <t>Lignite</t>
  </si>
  <si>
    <t>พลังงานของแข็ง</t>
  </si>
  <si>
    <t>Anthracite</t>
  </si>
  <si>
    <t>Sub-bituminous coal</t>
  </si>
  <si>
    <t>Emission Source</t>
  </si>
  <si>
    <t>Units</t>
  </si>
  <si>
    <t>Municipal Solid Waste (ขยะมูลฝอยรวม) - ฝังกลบ</t>
  </si>
  <si>
    <t>Waste</t>
  </si>
  <si>
    <t>Food Waste (ขยะอาหาร) - ฝังกลบ</t>
  </si>
  <si>
    <t>Plastic Waste (ขยะพลาสติก) - ฝังกลบ</t>
  </si>
  <si>
    <t>Paper Waste (ขยะกระดาษ) - ฝังกลบ</t>
  </si>
  <si>
    <t>Wood Waste (ขยะไม้) - ฝังกลบ</t>
  </si>
  <si>
    <t>Wastewater (น้ำเสีย) - ระบบบำบัดแบบไม่ใช้อากาศ</t>
  </si>
  <si>
    <t>m³</t>
  </si>
  <si>
    <t>Passenger Car (Sedan) - รถยนต์นั่งส่วนบุคคล</t>
  </si>
  <si>
    <t>Transportation</t>
  </si>
  <si>
    <t>km</t>
  </si>
  <si>
    <t>Public Bus (Bangkok) - รถเมล์ประจำทาง</t>
  </si>
  <si>
    <t>passenger-km</t>
  </si>
  <si>
    <t>Van (Public) - รถตู้สาธารณะ</t>
  </si>
  <si>
    <t>Freight Forwarding (Truck 10-wheels) - รถบรรทุก</t>
  </si>
  <si>
    <t>t-km</t>
  </si>
  <si>
    <t>Motorcycle - รถจักรยานยนต์</t>
  </si>
  <si>
    <t>Paper (General) - กระดาษทั่วไป</t>
  </si>
  <si>
    <t>Material (Virgin)</t>
  </si>
  <si>
    <t>Office Paper - กระดาษถ่ายเอกสาร</t>
  </si>
  <si>
    <t>Portland Cement - ปูนซีเมนต์ปอร์ตแลนด์</t>
  </si>
  <si>
    <t>Steel Rebar - เหล็กเส้น</t>
  </si>
  <si>
    <t>Glass (General) - แก้วทั่วไป</t>
  </si>
  <si>
    <t>Aluminum Ingot - อลูมิเนียมแท่ง</t>
  </si>
  <si>
    <t>Recycled Paper - กระดาษรีไซเคิล</t>
  </si>
  <si>
    <t>Material (Recycled)</t>
  </si>
  <si>
    <t>Recycled Steel - เหล็กรีไซเคิล</t>
  </si>
  <si>
    <t>Recycled Aluminum - อลูมิเนียมรีไซเคิล</t>
  </si>
  <si>
    <t>Recycled Plastic (PET) - พลาสติกรีไซเคิล</t>
  </si>
  <si>
    <t>Corrugated Box (Recycled) - กล่องลูกฟูกรีไซเคิล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</si>
</sst>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Tahoma"/>
      <family val="2"/>
      <charset val="22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9" fontId="0" fillId="0" borderId="0" xfId="1" applyFont="1"/>
    <xf numFmtId="9" fontId="1" fillId="0" borderId="1" xfId="0" applyNumberFormat="1" applyFont="1" applyBorder="1"/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1" fillId="0" borderId="1" xfId="0" applyFont="1" applyBorder="1" applyProtection="1">
      <protection hidden="1"/>
    </xf>
    <xf numFmtId="0" fontId="0" fillId="0" borderId="0" xfId="0" applyProtection="1">
      <protection hidden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5" fillId="0" borderId="0" xfId="0" applyFont="1"/>
    <xf numFmtId="3" fontId="3" fillId="0" borderId="2" xfId="0" applyNumberFormat="1" applyFont="1" applyBorder="1" applyAlignment="1">
      <alignment vertical="center" wrapText="1" readingOrder="1"/>
    </xf>
  </cellXfs>
  <cellStyles count="2">
    <cellStyle name="Normal" xfId="0" builtinId="0"/>
    <cellStyle name="Percent" xfId="1" builtinId="5"/>
  </cellStyles>
  <dxfs count="15">
    <dxf>
      <numFmt numFmtId="13" formatCode="0%"/>
    </dxf>
    <dxf>
      <numFmt numFmtId="0" formatCode="General"/>
      <protection locked="1" hidden="1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A8FF09-D753-4408-94B4-5000812868C2}" name="Table4" displayName="Table4" ref="A1:F500" headerRowDxfId="14" headerRowBorderDxfId="12" tableBorderDxfId="13">
  <autoFilter ref="A1:F500" xr:uid="{E5A8FF09-D753-4408-94B4-5000812868C2}"/>
  <tableColumns count="6">
    <tableColumn id="1" xr3:uid="{88616561-4907-4C75-B0A3-3C8D4FA2E694}" name="Date" totalsRowLabel="ผลรวม"/>
    <tableColumn id="2" xr3:uid="{5BB01053-6424-47D7-8688-05E84DE1B372}" name="Activity Type"/>
    <tableColumn id="3" xr3:uid="{873DFA6D-DF60-46D4-8F2C-83E72B5719D2}" name="Quantity"/>
    <tableColumn id="4" xr3:uid="{CD6CCB91-C124-4554-9AA0-3817854B2E07}" name="Unit (Auto)" dataDxfId="11">
      <calculatedColumnFormula>IFERROR(VLOOKUP(B2, MasterData, 2, FALSE), "")</calculatedColumnFormula>
    </tableColumn>
    <tableColumn id="5" xr3:uid="{B0CCC0F5-105B-4495-8E3E-8343BD0DBCBB}" name="Process/Department" totalsRowFunction="count"/>
    <tableColumn id="6" xr3:uid="{D3D1DA76-608B-4DA2-B56C-088BF8F7959A}" name="Source/Evidence2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886063-442E-4631-9E07-A905415ED56E}" name="Table3" displayName="Table3" ref="A1:E500" totalsRowShown="0" headerRowDxfId="10" headerRowBorderDxfId="8" tableBorderDxfId="9">
  <autoFilter ref="A1:E500" xr:uid="{40886063-442E-4631-9E07-A905415ED56E}"/>
  <tableColumns count="5">
    <tableColumn id="1" xr3:uid="{6C1B02BB-34A3-4F26-AD01-C86987ECDFCA}" name="Equipment ID"/>
    <tableColumn id="2" xr3:uid="{9D15EF32-2744-4499-BACB-9DD4A5E5F3EC}" name="Refrigerant Type"/>
    <tableColumn id="3" xr3:uid="{DEAC9BA3-D8B8-4F16-AF4E-26C3B45570D4}" name="Filled Quantity (kg)"/>
    <tableColumn id="6" xr3:uid="{CBB8E754-E5B7-4BDA-9DDA-2D2E0355EB13}" name=" GWP" dataDxfId="7">
      <calculatedColumnFormula>IFERROR(VLOOKUP(B2, GMP, 2, FALSE), "")</calculatedColumnFormula>
    </tableColumn>
    <tableColumn id="4" xr3:uid="{0C20E0F9-518F-406B-904E-A6C4BCBEFF86}" name="Maintenance Date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09812-A2A2-4710-A5E2-4C6467748669}" name="Table2" displayName="Table2" ref="A1:D500" totalsRowShown="0">
  <autoFilter ref="A1:D500" xr:uid="{99809812-A2A2-4710-A5E2-4C6467748669}"/>
  <tableColumns count="4">
    <tableColumn id="1" xr3:uid="{D903606F-494E-4686-97F1-9AD092BAF719}" name="Activity Name"/>
    <tableColumn id="2" xr3:uid="{724DF360-5DB7-4DAA-A696-06289908D22A}" name="Category" dataDxfId="6">
      <calculatedColumnFormula>IFERROR(VLOOKUP(A2, M_S3, 2, FALSE), "")</calculatedColumnFormula>
    </tableColumn>
    <tableColumn id="3" xr3:uid="{3D3AE20E-9C32-451D-9715-EFB7098D47C5}" name="Quantity"/>
    <tableColumn id="4" xr3:uid="{3CF7235A-36DB-4A08-B2FC-CF77FC602ADA}" name="Unit" dataDxfId="5">
      <calculatedColumnFormula>IFERROR(VLOOKUP(A2, M_S3, 3, FALSE), "")</calculatedColumnFormula>
    </tableColumn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A32F6C-1648-41D7-965A-2462E7A85EB6}" name="Table5" displayName="Table5" ref="A1:H500" totalsRowShown="0" headerRowDxfId="4" headerRowBorderDxfId="2" tableBorderDxfId="3">
  <autoFilter ref="A1:H500" xr:uid="{83A32F6C-1648-41D7-965A-2462E7A85EB6}"/>
  <sortState xmlns:xlrd2="http://schemas.microsoft.com/office/spreadsheetml/2017/richdata2" ref="A2:G7">
    <sortCondition ref="D2:D7"/>
  </sortState>
  <tableColumns count="8">
    <tableColumn id="1" xr3:uid="{AD60D216-A26A-441F-851E-BE2577BD08E6}" name="Product Name"/>
    <tableColumn id="2" xr3:uid="{385067B5-6D71-499A-AC55-DD079890D770}" name="Total Output Mass (kg)"/>
    <tableColumn id="3" xr3:uid="{6F2C79D7-1DA4-426A-BB3B-02CCA8176BEF}" name="Circular Feedstock Mass (kg)"/>
    <tableColumn id="4" xr3:uid="{78397D38-C924-4433-9D31-91C247FC05B9}" name="Process Yield (%)"/>
    <tableColumn id="5" xr3:uid="{C4C8077A-71FD-4AF2-AE22-03DDEC3A4668}" name="Net Circular Mass (kg)" dataDxfId="1">
      <calculatedColumnFormula>IFERROR(Table5[[#This Row],[Circular Feedstock Mass (kg)]]*Table5[[#This Row],[Process Yield (%)]], " ")</calculatedColumnFormula>
    </tableColumn>
    <tableColumn id="7" xr3:uid="{ECF87248-296D-4CE1-BB5E-FA3EB37E768C}" name="Circular Content (%)" dataDxfId="0">
      <calculatedColumnFormula>IFERROR(Table5[[#This Row],[Net Circular Mass (kg)]]/Table5[[#This Row],[Total Output Mass (kg)]], "")</calculatedColumnFormula>
    </tableColumn>
    <tableColumn id="8" xr3:uid="{D0ABBE3F-EC82-4E71-A8ED-1FEC938346F9}" name="Feedstock Type"/>
    <tableColumn id="10" xr3:uid="{8D3D22B3-BE7B-4B8F-B476-FB2C6E289573}" name="Certification No.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3969-745B-4868-8207-DD9CEB253BB4}">
  <dimension ref="A1:B5"/>
  <sheetViews>
    <sheetView tabSelected="1" workbookViewId="0">
      <selection activeCell="B2" sqref="B2"/>
    </sheetView>
  </sheetViews>
  <sheetFormatPr defaultRowHeight="14.25"/>
  <cols>
    <col min="1" max="1" width="25.75" customWidth="1"/>
    <col min="2" max="2" width="36.625" customWidth="1"/>
  </cols>
  <sheetData>
    <row r="1" spans="1:2" ht="15.75" thickBot="1">
      <c r="A1" s="4" t="s">
        <v>0</v>
      </c>
      <c r="B1" s="4" t="s">
        <v>1</v>
      </c>
    </row>
    <row r="2" spans="1:2" ht="15.75" thickBot="1">
      <c r="A2" s="4" t="s">
        <v>2</v>
      </c>
      <c r="B2" s="5"/>
    </row>
    <row r="3" spans="1:2" ht="15.75" thickBot="1">
      <c r="A3" s="4" t="s">
        <v>3</v>
      </c>
      <c r="B3" s="5"/>
    </row>
    <row r="4" spans="1:2" ht="15.75" thickBot="1">
      <c r="A4" s="4" t="s">
        <v>4</v>
      </c>
      <c r="B4" s="5"/>
    </row>
    <row r="5" spans="1:2" ht="15.75" thickBot="1">
      <c r="A5" s="4" t="s">
        <v>5</v>
      </c>
      <c r="B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workbookViewId="0">
      <selection activeCell="B2" sqref="B2"/>
    </sheetView>
  </sheetViews>
  <sheetFormatPr defaultRowHeight="14.25"/>
  <cols>
    <col min="1" max="1" width="13.125" customWidth="1"/>
    <col min="2" max="2" width="15.5" customWidth="1"/>
    <col min="3" max="3" width="13.625" customWidth="1"/>
    <col min="4" max="4" width="13.375" customWidth="1"/>
    <col min="5" max="5" width="22.875" customWidth="1"/>
    <col min="6" max="6" width="23.125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D2" t="str">
        <f t="shared" ref="D2:D65" si="0">IFERROR(VLOOKUP(B2, MasterData, 2, FALSE), "")</f>
        <v/>
      </c>
    </row>
    <row r="3" spans="1:6">
      <c r="D3" t="str">
        <f t="shared" si="0"/>
        <v/>
      </c>
    </row>
    <row r="4" spans="1:6">
      <c r="D4" t="str">
        <f t="shared" si="0"/>
        <v/>
      </c>
    </row>
    <row r="5" spans="1:6">
      <c r="D5" t="str">
        <f t="shared" si="0"/>
        <v/>
      </c>
    </row>
    <row r="6" spans="1:6">
      <c r="D6" t="str">
        <f t="shared" si="0"/>
        <v/>
      </c>
    </row>
    <row r="7" spans="1:6">
      <c r="D7" t="str">
        <f t="shared" si="0"/>
        <v/>
      </c>
    </row>
    <row r="8" spans="1:6">
      <c r="D8" t="str">
        <f t="shared" si="0"/>
        <v/>
      </c>
    </row>
    <row r="9" spans="1:6">
      <c r="D9" t="str">
        <f t="shared" si="0"/>
        <v/>
      </c>
    </row>
    <row r="10" spans="1:6">
      <c r="D10" t="str">
        <f t="shared" si="0"/>
        <v/>
      </c>
    </row>
    <row r="11" spans="1:6">
      <c r="D11" t="str">
        <f t="shared" si="0"/>
        <v/>
      </c>
    </row>
    <row r="12" spans="1:6">
      <c r="D12" t="str">
        <f t="shared" si="0"/>
        <v/>
      </c>
    </row>
    <row r="13" spans="1:6">
      <c r="D13" t="str">
        <f t="shared" si="0"/>
        <v/>
      </c>
    </row>
    <row r="14" spans="1:6">
      <c r="D14" t="str">
        <f t="shared" si="0"/>
        <v/>
      </c>
    </row>
    <row r="15" spans="1:6">
      <c r="D15" t="str">
        <f t="shared" si="0"/>
        <v/>
      </c>
    </row>
    <row r="16" spans="1:6">
      <c r="D16" t="str">
        <f t="shared" si="0"/>
        <v/>
      </c>
    </row>
    <row r="17" spans="4:4">
      <c r="D17" t="str">
        <f t="shared" si="0"/>
        <v/>
      </c>
    </row>
    <row r="18" spans="4:4">
      <c r="D18" t="str">
        <f t="shared" si="0"/>
        <v/>
      </c>
    </row>
    <row r="19" spans="4:4">
      <c r="D19" t="str">
        <f t="shared" si="0"/>
        <v/>
      </c>
    </row>
    <row r="20" spans="4:4">
      <c r="D20" t="str">
        <f t="shared" si="0"/>
        <v/>
      </c>
    </row>
    <row r="21" spans="4:4">
      <c r="D21" t="str">
        <f t="shared" si="0"/>
        <v/>
      </c>
    </row>
    <row r="22" spans="4:4">
      <c r="D22" t="str">
        <f t="shared" si="0"/>
        <v/>
      </c>
    </row>
    <row r="23" spans="4:4">
      <c r="D23" t="str">
        <f t="shared" si="0"/>
        <v/>
      </c>
    </row>
    <row r="24" spans="4:4">
      <c r="D24" t="str">
        <f t="shared" si="0"/>
        <v/>
      </c>
    </row>
    <row r="25" spans="4:4">
      <c r="D25" t="str">
        <f t="shared" si="0"/>
        <v/>
      </c>
    </row>
    <row r="26" spans="4:4">
      <c r="D26" t="str">
        <f t="shared" si="0"/>
        <v/>
      </c>
    </row>
    <row r="27" spans="4:4">
      <c r="D27" t="str">
        <f t="shared" si="0"/>
        <v/>
      </c>
    </row>
    <row r="28" spans="4:4">
      <c r="D28" t="str">
        <f t="shared" si="0"/>
        <v/>
      </c>
    </row>
    <row r="29" spans="4:4">
      <c r="D29" t="str">
        <f t="shared" si="0"/>
        <v/>
      </c>
    </row>
    <row r="30" spans="4:4">
      <c r="D30" t="str">
        <f t="shared" si="0"/>
        <v/>
      </c>
    </row>
    <row r="31" spans="4:4">
      <c r="D31" t="str">
        <f t="shared" si="0"/>
        <v/>
      </c>
    </row>
    <row r="32" spans="4:4">
      <c r="D32" t="str">
        <f t="shared" si="0"/>
        <v/>
      </c>
    </row>
    <row r="33" spans="4:4">
      <c r="D33" t="str">
        <f t="shared" si="0"/>
        <v/>
      </c>
    </row>
    <row r="34" spans="4:4">
      <c r="D34" t="str">
        <f t="shared" si="0"/>
        <v/>
      </c>
    </row>
    <row r="35" spans="4:4">
      <c r="D35" t="str">
        <f t="shared" si="0"/>
        <v/>
      </c>
    </row>
    <row r="36" spans="4:4">
      <c r="D36" t="str">
        <f t="shared" si="0"/>
        <v/>
      </c>
    </row>
    <row r="37" spans="4:4">
      <c r="D37" t="str">
        <f t="shared" si="0"/>
        <v/>
      </c>
    </row>
    <row r="38" spans="4:4">
      <c r="D38" t="str">
        <f t="shared" si="0"/>
        <v/>
      </c>
    </row>
    <row r="39" spans="4:4">
      <c r="D39" t="str">
        <f t="shared" si="0"/>
        <v/>
      </c>
    </row>
    <row r="40" spans="4:4">
      <c r="D40" t="str">
        <f t="shared" si="0"/>
        <v/>
      </c>
    </row>
    <row r="41" spans="4:4">
      <c r="D41" t="str">
        <f t="shared" si="0"/>
        <v/>
      </c>
    </row>
    <row r="42" spans="4:4">
      <c r="D42" t="str">
        <f t="shared" si="0"/>
        <v/>
      </c>
    </row>
    <row r="43" spans="4:4">
      <c r="D43" t="str">
        <f t="shared" si="0"/>
        <v/>
      </c>
    </row>
    <row r="44" spans="4:4">
      <c r="D44" t="str">
        <f t="shared" si="0"/>
        <v/>
      </c>
    </row>
    <row r="45" spans="4:4">
      <c r="D45" t="str">
        <f t="shared" si="0"/>
        <v/>
      </c>
    </row>
    <row r="46" spans="4:4">
      <c r="D46" t="str">
        <f t="shared" si="0"/>
        <v/>
      </c>
    </row>
    <row r="47" spans="4:4">
      <c r="D47" t="str">
        <f t="shared" si="0"/>
        <v/>
      </c>
    </row>
    <row r="48" spans="4:4">
      <c r="D48" t="str">
        <f t="shared" si="0"/>
        <v/>
      </c>
    </row>
    <row r="49" spans="4:4">
      <c r="D49" t="str">
        <f t="shared" si="0"/>
        <v/>
      </c>
    </row>
    <row r="50" spans="4:4">
      <c r="D50" t="str">
        <f t="shared" si="0"/>
        <v/>
      </c>
    </row>
    <row r="51" spans="4:4">
      <c r="D51" t="str">
        <f t="shared" si="0"/>
        <v/>
      </c>
    </row>
    <row r="52" spans="4:4">
      <c r="D52" t="str">
        <f t="shared" si="0"/>
        <v/>
      </c>
    </row>
    <row r="53" spans="4:4">
      <c r="D53" t="str">
        <f t="shared" si="0"/>
        <v/>
      </c>
    </row>
    <row r="54" spans="4:4">
      <c r="D54" t="str">
        <f t="shared" si="0"/>
        <v/>
      </c>
    </row>
    <row r="55" spans="4:4">
      <c r="D55" t="str">
        <f t="shared" si="0"/>
        <v/>
      </c>
    </row>
    <row r="56" spans="4:4">
      <c r="D56" t="str">
        <f t="shared" si="0"/>
        <v/>
      </c>
    </row>
    <row r="57" spans="4:4">
      <c r="D57" t="str">
        <f t="shared" si="0"/>
        <v/>
      </c>
    </row>
    <row r="58" spans="4:4">
      <c r="D58" t="str">
        <f t="shared" si="0"/>
        <v/>
      </c>
    </row>
    <row r="59" spans="4:4">
      <c r="D59" t="str">
        <f t="shared" si="0"/>
        <v/>
      </c>
    </row>
    <row r="60" spans="4:4">
      <c r="D60" t="str">
        <f t="shared" si="0"/>
        <v/>
      </c>
    </row>
    <row r="61" spans="4:4">
      <c r="D61" t="str">
        <f t="shared" si="0"/>
        <v/>
      </c>
    </row>
    <row r="62" spans="4:4">
      <c r="D62" t="str">
        <f t="shared" si="0"/>
        <v/>
      </c>
    </row>
    <row r="63" spans="4:4">
      <c r="D63" t="str">
        <f t="shared" si="0"/>
        <v/>
      </c>
    </row>
    <row r="64" spans="4:4">
      <c r="D64" t="str">
        <f t="shared" si="0"/>
        <v/>
      </c>
    </row>
    <row r="65" spans="4:4">
      <c r="D65" t="str">
        <f t="shared" si="0"/>
        <v/>
      </c>
    </row>
    <row r="66" spans="4:4">
      <c r="D66" t="str">
        <f t="shared" ref="D66:D129" si="1">IFERROR(VLOOKUP(B66, MasterData, 2, FALSE), "")</f>
        <v/>
      </c>
    </row>
    <row r="67" spans="4:4">
      <c r="D67" t="str">
        <f t="shared" si="1"/>
        <v/>
      </c>
    </row>
    <row r="68" spans="4:4">
      <c r="D68" t="str">
        <f t="shared" si="1"/>
        <v/>
      </c>
    </row>
    <row r="69" spans="4:4">
      <c r="D69" t="str">
        <f t="shared" si="1"/>
        <v/>
      </c>
    </row>
    <row r="70" spans="4:4">
      <c r="D70" t="str">
        <f t="shared" si="1"/>
        <v/>
      </c>
    </row>
    <row r="71" spans="4:4">
      <c r="D71" t="str">
        <f t="shared" si="1"/>
        <v/>
      </c>
    </row>
    <row r="72" spans="4:4">
      <c r="D72" t="str">
        <f t="shared" si="1"/>
        <v/>
      </c>
    </row>
    <row r="73" spans="4:4">
      <c r="D73" t="str">
        <f t="shared" si="1"/>
        <v/>
      </c>
    </row>
    <row r="74" spans="4:4">
      <c r="D74" t="str">
        <f t="shared" si="1"/>
        <v/>
      </c>
    </row>
    <row r="75" spans="4:4">
      <c r="D75" t="str">
        <f t="shared" si="1"/>
        <v/>
      </c>
    </row>
    <row r="76" spans="4:4">
      <c r="D76" t="str">
        <f t="shared" si="1"/>
        <v/>
      </c>
    </row>
    <row r="77" spans="4:4">
      <c r="D77" t="str">
        <f t="shared" si="1"/>
        <v/>
      </c>
    </row>
    <row r="78" spans="4:4">
      <c r="D78" t="str">
        <f t="shared" si="1"/>
        <v/>
      </c>
    </row>
    <row r="79" spans="4:4">
      <c r="D79" t="str">
        <f t="shared" si="1"/>
        <v/>
      </c>
    </row>
    <row r="80" spans="4:4">
      <c r="D80" t="str">
        <f t="shared" si="1"/>
        <v/>
      </c>
    </row>
    <row r="81" spans="4:4">
      <c r="D81" t="str">
        <f t="shared" si="1"/>
        <v/>
      </c>
    </row>
    <row r="82" spans="4:4">
      <c r="D82" t="str">
        <f t="shared" si="1"/>
        <v/>
      </c>
    </row>
    <row r="83" spans="4:4">
      <c r="D83" t="str">
        <f t="shared" si="1"/>
        <v/>
      </c>
    </row>
    <row r="84" spans="4:4">
      <c r="D84" t="str">
        <f t="shared" si="1"/>
        <v/>
      </c>
    </row>
    <row r="85" spans="4:4">
      <c r="D85" t="str">
        <f t="shared" si="1"/>
        <v/>
      </c>
    </row>
    <row r="86" spans="4:4">
      <c r="D86" t="str">
        <f t="shared" si="1"/>
        <v/>
      </c>
    </row>
    <row r="87" spans="4:4">
      <c r="D87" t="str">
        <f t="shared" si="1"/>
        <v/>
      </c>
    </row>
    <row r="88" spans="4:4">
      <c r="D88" t="str">
        <f t="shared" si="1"/>
        <v/>
      </c>
    </row>
    <row r="89" spans="4:4">
      <c r="D89" t="str">
        <f t="shared" si="1"/>
        <v/>
      </c>
    </row>
    <row r="90" spans="4:4">
      <c r="D90" t="str">
        <f t="shared" si="1"/>
        <v/>
      </c>
    </row>
    <row r="91" spans="4:4">
      <c r="D91" t="str">
        <f t="shared" si="1"/>
        <v/>
      </c>
    </row>
    <row r="92" spans="4:4">
      <c r="D92" t="str">
        <f t="shared" si="1"/>
        <v/>
      </c>
    </row>
    <row r="93" spans="4:4">
      <c r="D93" t="str">
        <f t="shared" si="1"/>
        <v/>
      </c>
    </row>
    <row r="94" spans="4:4">
      <c r="D94" t="str">
        <f t="shared" si="1"/>
        <v/>
      </c>
    </row>
    <row r="95" spans="4:4">
      <c r="D95" t="str">
        <f t="shared" si="1"/>
        <v/>
      </c>
    </row>
    <row r="96" spans="4:4">
      <c r="D96" t="str">
        <f t="shared" si="1"/>
        <v/>
      </c>
    </row>
    <row r="97" spans="4:4">
      <c r="D97" t="str">
        <f t="shared" si="1"/>
        <v/>
      </c>
    </row>
    <row r="98" spans="4:4">
      <c r="D98" t="str">
        <f t="shared" si="1"/>
        <v/>
      </c>
    </row>
    <row r="99" spans="4:4">
      <c r="D99" t="str">
        <f t="shared" si="1"/>
        <v/>
      </c>
    </row>
    <row r="100" spans="4:4">
      <c r="D100" t="str">
        <f t="shared" si="1"/>
        <v/>
      </c>
    </row>
    <row r="101" spans="4:4">
      <c r="D101" t="str">
        <f t="shared" si="1"/>
        <v/>
      </c>
    </row>
    <row r="102" spans="4:4">
      <c r="D102" t="str">
        <f t="shared" si="1"/>
        <v/>
      </c>
    </row>
    <row r="103" spans="4:4">
      <c r="D103" t="str">
        <f t="shared" si="1"/>
        <v/>
      </c>
    </row>
    <row r="104" spans="4:4">
      <c r="D104" t="str">
        <f t="shared" si="1"/>
        <v/>
      </c>
    </row>
    <row r="105" spans="4:4">
      <c r="D105" t="str">
        <f t="shared" si="1"/>
        <v/>
      </c>
    </row>
    <row r="106" spans="4:4">
      <c r="D106" t="str">
        <f t="shared" si="1"/>
        <v/>
      </c>
    </row>
    <row r="107" spans="4:4">
      <c r="D107" t="str">
        <f t="shared" si="1"/>
        <v/>
      </c>
    </row>
    <row r="108" spans="4:4">
      <c r="D108" t="str">
        <f t="shared" si="1"/>
        <v/>
      </c>
    </row>
    <row r="109" spans="4:4">
      <c r="D109" t="str">
        <f t="shared" si="1"/>
        <v/>
      </c>
    </row>
    <row r="110" spans="4:4">
      <c r="D110" t="str">
        <f t="shared" si="1"/>
        <v/>
      </c>
    </row>
    <row r="111" spans="4:4">
      <c r="D111" t="str">
        <f t="shared" si="1"/>
        <v/>
      </c>
    </row>
    <row r="112" spans="4:4">
      <c r="D112" t="str">
        <f t="shared" si="1"/>
        <v/>
      </c>
    </row>
    <row r="113" spans="4:4">
      <c r="D113" t="str">
        <f t="shared" si="1"/>
        <v/>
      </c>
    </row>
    <row r="114" spans="4:4">
      <c r="D114" t="str">
        <f t="shared" si="1"/>
        <v/>
      </c>
    </row>
    <row r="115" spans="4:4">
      <c r="D115" t="str">
        <f t="shared" si="1"/>
        <v/>
      </c>
    </row>
    <row r="116" spans="4:4">
      <c r="D116" t="str">
        <f t="shared" si="1"/>
        <v/>
      </c>
    </row>
    <row r="117" spans="4:4">
      <c r="D117" t="str">
        <f t="shared" si="1"/>
        <v/>
      </c>
    </row>
    <row r="118" spans="4:4">
      <c r="D118" t="str">
        <f t="shared" si="1"/>
        <v/>
      </c>
    </row>
    <row r="119" spans="4:4">
      <c r="D119" t="str">
        <f t="shared" si="1"/>
        <v/>
      </c>
    </row>
    <row r="120" spans="4:4">
      <c r="D120" t="str">
        <f t="shared" si="1"/>
        <v/>
      </c>
    </row>
    <row r="121" spans="4:4">
      <c r="D121" t="str">
        <f t="shared" si="1"/>
        <v/>
      </c>
    </row>
    <row r="122" spans="4:4">
      <c r="D122" t="str">
        <f t="shared" si="1"/>
        <v/>
      </c>
    </row>
    <row r="123" spans="4:4">
      <c r="D123" t="str">
        <f t="shared" si="1"/>
        <v/>
      </c>
    </row>
    <row r="124" spans="4:4">
      <c r="D124" t="str">
        <f t="shared" si="1"/>
        <v/>
      </c>
    </row>
    <row r="125" spans="4:4">
      <c r="D125" t="str">
        <f t="shared" si="1"/>
        <v/>
      </c>
    </row>
    <row r="126" spans="4:4">
      <c r="D126" t="str">
        <f t="shared" si="1"/>
        <v/>
      </c>
    </row>
    <row r="127" spans="4:4">
      <c r="D127" t="str">
        <f t="shared" si="1"/>
        <v/>
      </c>
    </row>
    <row r="128" spans="4:4">
      <c r="D128" t="str">
        <f t="shared" si="1"/>
        <v/>
      </c>
    </row>
    <row r="129" spans="4:4">
      <c r="D129" t="str">
        <f t="shared" si="1"/>
        <v/>
      </c>
    </row>
    <row r="130" spans="4:4">
      <c r="D130" t="str">
        <f t="shared" ref="D130:D193" si="2">IFERROR(VLOOKUP(B130, MasterData, 2, FALSE), "")</f>
        <v/>
      </c>
    </row>
    <row r="131" spans="4:4">
      <c r="D131" t="str">
        <f t="shared" si="2"/>
        <v/>
      </c>
    </row>
    <row r="132" spans="4:4">
      <c r="D132" t="str">
        <f t="shared" si="2"/>
        <v/>
      </c>
    </row>
    <row r="133" spans="4:4">
      <c r="D133" t="str">
        <f t="shared" si="2"/>
        <v/>
      </c>
    </row>
    <row r="134" spans="4:4">
      <c r="D134" t="str">
        <f t="shared" si="2"/>
        <v/>
      </c>
    </row>
    <row r="135" spans="4:4">
      <c r="D135" t="str">
        <f t="shared" si="2"/>
        <v/>
      </c>
    </row>
    <row r="136" spans="4:4">
      <c r="D136" t="str">
        <f t="shared" si="2"/>
        <v/>
      </c>
    </row>
    <row r="137" spans="4:4">
      <c r="D137" t="str">
        <f t="shared" si="2"/>
        <v/>
      </c>
    </row>
    <row r="138" spans="4:4">
      <c r="D138" t="str">
        <f t="shared" si="2"/>
        <v/>
      </c>
    </row>
    <row r="139" spans="4:4">
      <c r="D139" t="str">
        <f t="shared" si="2"/>
        <v/>
      </c>
    </row>
    <row r="140" spans="4:4">
      <c r="D140" t="str">
        <f t="shared" si="2"/>
        <v/>
      </c>
    </row>
    <row r="141" spans="4:4">
      <c r="D141" t="str">
        <f t="shared" si="2"/>
        <v/>
      </c>
    </row>
    <row r="142" spans="4:4">
      <c r="D142" t="str">
        <f t="shared" si="2"/>
        <v/>
      </c>
    </row>
    <row r="143" spans="4:4">
      <c r="D143" t="str">
        <f t="shared" si="2"/>
        <v/>
      </c>
    </row>
    <row r="144" spans="4:4">
      <c r="D144" t="str">
        <f t="shared" si="2"/>
        <v/>
      </c>
    </row>
    <row r="145" spans="4:4">
      <c r="D145" t="str">
        <f t="shared" si="2"/>
        <v/>
      </c>
    </row>
    <row r="146" spans="4:4">
      <c r="D146" t="str">
        <f t="shared" si="2"/>
        <v/>
      </c>
    </row>
    <row r="147" spans="4:4">
      <c r="D147" t="str">
        <f t="shared" si="2"/>
        <v/>
      </c>
    </row>
    <row r="148" spans="4:4">
      <c r="D148" t="str">
        <f t="shared" si="2"/>
        <v/>
      </c>
    </row>
    <row r="149" spans="4:4">
      <c r="D149" t="str">
        <f t="shared" si="2"/>
        <v/>
      </c>
    </row>
    <row r="150" spans="4:4">
      <c r="D150" t="str">
        <f t="shared" si="2"/>
        <v/>
      </c>
    </row>
    <row r="151" spans="4:4">
      <c r="D151" t="str">
        <f t="shared" si="2"/>
        <v/>
      </c>
    </row>
    <row r="152" spans="4:4">
      <c r="D152" t="str">
        <f t="shared" si="2"/>
        <v/>
      </c>
    </row>
    <row r="153" spans="4:4">
      <c r="D153" t="str">
        <f t="shared" si="2"/>
        <v/>
      </c>
    </row>
    <row r="154" spans="4:4">
      <c r="D154" t="str">
        <f t="shared" si="2"/>
        <v/>
      </c>
    </row>
    <row r="155" spans="4:4">
      <c r="D155" t="str">
        <f t="shared" si="2"/>
        <v/>
      </c>
    </row>
    <row r="156" spans="4:4">
      <c r="D156" t="str">
        <f t="shared" si="2"/>
        <v/>
      </c>
    </row>
    <row r="157" spans="4:4">
      <c r="D157" t="str">
        <f t="shared" si="2"/>
        <v/>
      </c>
    </row>
    <row r="158" spans="4:4">
      <c r="D158" t="str">
        <f t="shared" si="2"/>
        <v/>
      </c>
    </row>
    <row r="159" spans="4:4">
      <c r="D159" t="str">
        <f t="shared" si="2"/>
        <v/>
      </c>
    </row>
    <row r="160" spans="4:4">
      <c r="D160" t="str">
        <f t="shared" si="2"/>
        <v/>
      </c>
    </row>
    <row r="161" spans="4:4">
      <c r="D161" t="str">
        <f t="shared" si="2"/>
        <v/>
      </c>
    </row>
    <row r="162" spans="4:4">
      <c r="D162" t="str">
        <f t="shared" si="2"/>
        <v/>
      </c>
    </row>
    <row r="163" spans="4:4">
      <c r="D163" t="str">
        <f t="shared" si="2"/>
        <v/>
      </c>
    </row>
    <row r="164" spans="4:4">
      <c r="D164" t="str">
        <f t="shared" si="2"/>
        <v/>
      </c>
    </row>
    <row r="165" spans="4:4">
      <c r="D165" t="str">
        <f t="shared" si="2"/>
        <v/>
      </c>
    </row>
    <row r="166" spans="4:4">
      <c r="D166" t="str">
        <f t="shared" si="2"/>
        <v/>
      </c>
    </row>
    <row r="167" spans="4:4">
      <c r="D167" t="str">
        <f t="shared" si="2"/>
        <v/>
      </c>
    </row>
    <row r="168" spans="4:4">
      <c r="D168" t="str">
        <f t="shared" si="2"/>
        <v/>
      </c>
    </row>
    <row r="169" spans="4:4">
      <c r="D169" t="str">
        <f t="shared" si="2"/>
        <v/>
      </c>
    </row>
    <row r="170" spans="4:4">
      <c r="D170" t="str">
        <f t="shared" si="2"/>
        <v/>
      </c>
    </row>
    <row r="171" spans="4:4">
      <c r="D171" t="str">
        <f t="shared" si="2"/>
        <v/>
      </c>
    </row>
    <row r="172" spans="4:4">
      <c r="D172" t="str">
        <f t="shared" si="2"/>
        <v/>
      </c>
    </row>
    <row r="173" spans="4:4">
      <c r="D173" t="str">
        <f t="shared" si="2"/>
        <v/>
      </c>
    </row>
    <row r="174" spans="4:4">
      <c r="D174" t="str">
        <f t="shared" si="2"/>
        <v/>
      </c>
    </row>
    <row r="175" spans="4:4">
      <c r="D175" t="str">
        <f t="shared" si="2"/>
        <v/>
      </c>
    </row>
    <row r="176" spans="4:4">
      <c r="D176" t="str">
        <f t="shared" si="2"/>
        <v/>
      </c>
    </row>
    <row r="177" spans="4:4">
      <c r="D177" t="str">
        <f t="shared" si="2"/>
        <v/>
      </c>
    </row>
    <row r="178" spans="4:4">
      <c r="D178" t="str">
        <f t="shared" si="2"/>
        <v/>
      </c>
    </row>
    <row r="179" spans="4:4">
      <c r="D179" t="str">
        <f t="shared" si="2"/>
        <v/>
      </c>
    </row>
    <row r="180" spans="4:4">
      <c r="D180" t="str">
        <f t="shared" si="2"/>
        <v/>
      </c>
    </row>
    <row r="181" spans="4:4">
      <c r="D181" t="str">
        <f t="shared" si="2"/>
        <v/>
      </c>
    </row>
    <row r="182" spans="4:4">
      <c r="D182" t="str">
        <f t="shared" si="2"/>
        <v/>
      </c>
    </row>
    <row r="183" spans="4:4">
      <c r="D183" t="str">
        <f t="shared" si="2"/>
        <v/>
      </c>
    </row>
    <row r="184" spans="4:4">
      <c r="D184" t="str">
        <f t="shared" si="2"/>
        <v/>
      </c>
    </row>
    <row r="185" spans="4:4">
      <c r="D185" t="str">
        <f t="shared" si="2"/>
        <v/>
      </c>
    </row>
    <row r="186" spans="4:4">
      <c r="D186" t="str">
        <f t="shared" si="2"/>
        <v/>
      </c>
    </row>
    <row r="187" spans="4:4">
      <c r="D187" t="str">
        <f t="shared" si="2"/>
        <v/>
      </c>
    </row>
    <row r="188" spans="4:4">
      <c r="D188" t="str">
        <f t="shared" si="2"/>
        <v/>
      </c>
    </row>
    <row r="189" spans="4:4">
      <c r="D189" t="str">
        <f t="shared" si="2"/>
        <v/>
      </c>
    </row>
    <row r="190" spans="4:4">
      <c r="D190" t="str">
        <f t="shared" si="2"/>
        <v/>
      </c>
    </row>
    <row r="191" spans="4:4">
      <c r="D191" t="str">
        <f t="shared" si="2"/>
        <v/>
      </c>
    </row>
    <row r="192" spans="4:4">
      <c r="D192" t="str">
        <f t="shared" si="2"/>
        <v/>
      </c>
    </row>
    <row r="193" spans="4:4">
      <c r="D193" t="str">
        <f t="shared" si="2"/>
        <v/>
      </c>
    </row>
    <row r="194" spans="4:4">
      <c r="D194" t="str">
        <f t="shared" ref="D194:D257" si="3">IFERROR(VLOOKUP(B194, MasterData, 2, FALSE), "")</f>
        <v/>
      </c>
    </row>
    <row r="195" spans="4:4">
      <c r="D195" t="str">
        <f t="shared" si="3"/>
        <v/>
      </c>
    </row>
    <row r="196" spans="4:4">
      <c r="D196" t="str">
        <f t="shared" si="3"/>
        <v/>
      </c>
    </row>
    <row r="197" spans="4:4">
      <c r="D197" t="str">
        <f t="shared" si="3"/>
        <v/>
      </c>
    </row>
    <row r="198" spans="4:4">
      <c r="D198" t="str">
        <f t="shared" si="3"/>
        <v/>
      </c>
    </row>
    <row r="199" spans="4:4">
      <c r="D199" t="str">
        <f t="shared" si="3"/>
        <v/>
      </c>
    </row>
    <row r="200" spans="4:4">
      <c r="D200" t="str">
        <f t="shared" si="3"/>
        <v/>
      </c>
    </row>
    <row r="201" spans="4:4">
      <c r="D201" t="str">
        <f t="shared" si="3"/>
        <v/>
      </c>
    </row>
    <row r="202" spans="4:4">
      <c r="D202" t="str">
        <f t="shared" si="3"/>
        <v/>
      </c>
    </row>
    <row r="203" spans="4:4">
      <c r="D203" t="str">
        <f t="shared" si="3"/>
        <v/>
      </c>
    </row>
    <row r="204" spans="4:4">
      <c r="D204" t="str">
        <f t="shared" si="3"/>
        <v/>
      </c>
    </row>
    <row r="205" spans="4:4">
      <c r="D205" t="str">
        <f t="shared" si="3"/>
        <v/>
      </c>
    </row>
    <row r="206" spans="4:4">
      <c r="D206" t="str">
        <f t="shared" si="3"/>
        <v/>
      </c>
    </row>
    <row r="207" spans="4:4">
      <c r="D207" t="str">
        <f t="shared" si="3"/>
        <v/>
      </c>
    </row>
    <row r="208" spans="4:4">
      <c r="D208" t="str">
        <f t="shared" si="3"/>
        <v/>
      </c>
    </row>
    <row r="209" spans="4:4">
      <c r="D209" t="str">
        <f t="shared" si="3"/>
        <v/>
      </c>
    </row>
    <row r="210" spans="4:4">
      <c r="D210" t="str">
        <f t="shared" si="3"/>
        <v/>
      </c>
    </row>
    <row r="211" spans="4:4">
      <c r="D211" t="str">
        <f t="shared" si="3"/>
        <v/>
      </c>
    </row>
    <row r="212" spans="4:4">
      <c r="D212" t="str">
        <f t="shared" si="3"/>
        <v/>
      </c>
    </row>
    <row r="213" spans="4:4">
      <c r="D213" t="str">
        <f t="shared" si="3"/>
        <v/>
      </c>
    </row>
    <row r="214" spans="4:4">
      <c r="D214" t="str">
        <f t="shared" si="3"/>
        <v/>
      </c>
    </row>
    <row r="215" spans="4:4">
      <c r="D215" t="str">
        <f t="shared" si="3"/>
        <v/>
      </c>
    </row>
    <row r="216" spans="4:4">
      <c r="D216" t="str">
        <f t="shared" si="3"/>
        <v/>
      </c>
    </row>
    <row r="217" spans="4:4">
      <c r="D217" t="str">
        <f t="shared" si="3"/>
        <v/>
      </c>
    </row>
    <row r="218" spans="4:4">
      <c r="D218" t="str">
        <f t="shared" si="3"/>
        <v/>
      </c>
    </row>
    <row r="219" spans="4:4">
      <c r="D219" t="str">
        <f t="shared" si="3"/>
        <v/>
      </c>
    </row>
    <row r="220" spans="4:4">
      <c r="D220" t="str">
        <f t="shared" si="3"/>
        <v/>
      </c>
    </row>
    <row r="221" spans="4:4">
      <c r="D221" t="str">
        <f t="shared" si="3"/>
        <v/>
      </c>
    </row>
    <row r="222" spans="4:4">
      <c r="D222" t="str">
        <f t="shared" si="3"/>
        <v/>
      </c>
    </row>
    <row r="223" spans="4:4">
      <c r="D223" t="str">
        <f t="shared" si="3"/>
        <v/>
      </c>
    </row>
    <row r="224" spans="4:4">
      <c r="D224" t="str">
        <f t="shared" si="3"/>
        <v/>
      </c>
    </row>
    <row r="225" spans="4:4">
      <c r="D225" t="str">
        <f t="shared" si="3"/>
        <v/>
      </c>
    </row>
    <row r="226" spans="4:4">
      <c r="D226" t="str">
        <f t="shared" si="3"/>
        <v/>
      </c>
    </row>
    <row r="227" spans="4:4">
      <c r="D227" t="str">
        <f t="shared" si="3"/>
        <v/>
      </c>
    </row>
    <row r="228" spans="4:4">
      <c r="D228" t="str">
        <f t="shared" si="3"/>
        <v/>
      </c>
    </row>
    <row r="229" spans="4:4">
      <c r="D229" t="str">
        <f t="shared" si="3"/>
        <v/>
      </c>
    </row>
    <row r="230" spans="4:4">
      <c r="D230" t="str">
        <f t="shared" si="3"/>
        <v/>
      </c>
    </row>
    <row r="231" spans="4:4">
      <c r="D231" t="str">
        <f t="shared" si="3"/>
        <v/>
      </c>
    </row>
    <row r="232" spans="4:4">
      <c r="D232" t="str">
        <f t="shared" si="3"/>
        <v/>
      </c>
    </row>
    <row r="233" spans="4:4">
      <c r="D233" t="str">
        <f t="shared" si="3"/>
        <v/>
      </c>
    </row>
    <row r="234" spans="4:4">
      <c r="D234" t="str">
        <f t="shared" si="3"/>
        <v/>
      </c>
    </row>
    <row r="235" spans="4:4">
      <c r="D235" t="str">
        <f t="shared" si="3"/>
        <v/>
      </c>
    </row>
    <row r="236" spans="4:4">
      <c r="D236" t="str">
        <f t="shared" si="3"/>
        <v/>
      </c>
    </row>
    <row r="237" spans="4:4">
      <c r="D237" t="str">
        <f t="shared" si="3"/>
        <v/>
      </c>
    </row>
    <row r="238" spans="4:4">
      <c r="D238" t="str">
        <f t="shared" si="3"/>
        <v/>
      </c>
    </row>
    <row r="239" spans="4:4">
      <c r="D239" t="str">
        <f t="shared" si="3"/>
        <v/>
      </c>
    </row>
    <row r="240" spans="4:4">
      <c r="D240" t="str">
        <f t="shared" si="3"/>
        <v/>
      </c>
    </row>
    <row r="241" spans="4:4">
      <c r="D241" t="str">
        <f t="shared" si="3"/>
        <v/>
      </c>
    </row>
    <row r="242" spans="4:4">
      <c r="D242" t="str">
        <f t="shared" si="3"/>
        <v/>
      </c>
    </row>
    <row r="243" spans="4:4">
      <c r="D243" t="str">
        <f t="shared" si="3"/>
        <v/>
      </c>
    </row>
    <row r="244" spans="4:4">
      <c r="D244" t="str">
        <f t="shared" si="3"/>
        <v/>
      </c>
    </row>
    <row r="245" spans="4:4">
      <c r="D245" t="str">
        <f t="shared" si="3"/>
        <v/>
      </c>
    </row>
    <row r="246" spans="4:4">
      <c r="D246" t="str">
        <f t="shared" si="3"/>
        <v/>
      </c>
    </row>
    <row r="247" spans="4:4">
      <c r="D247" t="str">
        <f t="shared" si="3"/>
        <v/>
      </c>
    </row>
    <row r="248" spans="4:4">
      <c r="D248" t="str">
        <f t="shared" si="3"/>
        <v/>
      </c>
    </row>
    <row r="249" spans="4:4">
      <c r="D249" t="str">
        <f t="shared" si="3"/>
        <v/>
      </c>
    </row>
    <row r="250" spans="4:4">
      <c r="D250" t="str">
        <f t="shared" si="3"/>
        <v/>
      </c>
    </row>
    <row r="251" spans="4:4">
      <c r="D251" t="str">
        <f t="shared" si="3"/>
        <v/>
      </c>
    </row>
    <row r="252" spans="4:4">
      <c r="D252" t="str">
        <f t="shared" si="3"/>
        <v/>
      </c>
    </row>
    <row r="253" spans="4:4">
      <c r="D253" t="str">
        <f t="shared" si="3"/>
        <v/>
      </c>
    </row>
    <row r="254" spans="4:4">
      <c r="D254" t="str">
        <f t="shared" si="3"/>
        <v/>
      </c>
    </row>
    <row r="255" spans="4:4">
      <c r="D255" t="str">
        <f t="shared" si="3"/>
        <v/>
      </c>
    </row>
    <row r="256" spans="4:4">
      <c r="D256" t="str">
        <f t="shared" si="3"/>
        <v/>
      </c>
    </row>
    <row r="257" spans="4:4">
      <c r="D257" t="str">
        <f t="shared" si="3"/>
        <v/>
      </c>
    </row>
    <row r="258" spans="4:4">
      <c r="D258" t="str">
        <f t="shared" ref="D258:D321" si="4">IFERROR(VLOOKUP(B258, MasterData, 2, FALSE), "")</f>
        <v/>
      </c>
    </row>
    <row r="259" spans="4:4">
      <c r="D259" t="str">
        <f t="shared" si="4"/>
        <v/>
      </c>
    </row>
    <row r="260" spans="4:4">
      <c r="D260" t="str">
        <f t="shared" si="4"/>
        <v/>
      </c>
    </row>
    <row r="261" spans="4:4">
      <c r="D261" t="str">
        <f t="shared" si="4"/>
        <v/>
      </c>
    </row>
    <row r="262" spans="4:4">
      <c r="D262" t="str">
        <f t="shared" si="4"/>
        <v/>
      </c>
    </row>
    <row r="263" spans="4:4">
      <c r="D263" t="str">
        <f t="shared" si="4"/>
        <v/>
      </c>
    </row>
    <row r="264" spans="4:4">
      <c r="D264" t="str">
        <f t="shared" si="4"/>
        <v/>
      </c>
    </row>
    <row r="265" spans="4:4">
      <c r="D265" t="str">
        <f t="shared" si="4"/>
        <v/>
      </c>
    </row>
    <row r="266" spans="4:4">
      <c r="D266" t="str">
        <f t="shared" si="4"/>
        <v/>
      </c>
    </row>
    <row r="267" spans="4:4">
      <c r="D267" t="str">
        <f t="shared" si="4"/>
        <v/>
      </c>
    </row>
    <row r="268" spans="4:4">
      <c r="D268" t="str">
        <f t="shared" si="4"/>
        <v/>
      </c>
    </row>
    <row r="269" spans="4:4">
      <c r="D269" t="str">
        <f t="shared" si="4"/>
        <v/>
      </c>
    </row>
    <row r="270" spans="4:4">
      <c r="D270" t="str">
        <f t="shared" si="4"/>
        <v/>
      </c>
    </row>
    <row r="271" spans="4:4">
      <c r="D271" t="str">
        <f t="shared" si="4"/>
        <v/>
      </c>
    </row>
    <row r="272" spans="4:4">
      <c r="D272" t="str">
        <f t="shared" si="4"/>
        <v/>
      </c>
    </row>
    <row r="273" spans="4:4">
      <c r="D273" t="str">
        <f t="shared" si="4"/>
        <v/>
      </c>
    </row>
    <row r="274" spans="4:4">
      <c r="D274" t="str">
        <f t="shared" si="4"/>
        <v/>
      </c>
    </row>
    <row r="275" spans="4:4">
      <c r="D275" t="str">
        <f t="shared" si="4"/>
        <v/>
      </c>
    </row>
    <row r="276" spans="4:4">
      <c r="D276" t="str">
        <f t="shared" si="4"/>
        <v/>
      </c>
    </row>
    <row r="277" spans="4:4">
      <c r="D277" t="str">
        <f t="shared" si="4"/>
        <v/>
      </c>
    </row>
    <row r="278" spans="4:4">
      <c r="D278" t="str">
        <f t="shared" si="4"/>
        <v/>
      </c>
    </row>
    <row r="279" spans="4:4">
      <c r="D279" t="str">
        <f t="shared" si="4"/>
        <v/>
      </c>
    </row>
    <row r="280" spans="4:4">
      <c r="D280" t="str">
        <f t="shared" si="4"/>
        <v/>
      </c>
    </row>
    <row r="281" spans="4:4">
      <c r="D281" t="str">
        <f t="shared" si="4"/>
        <v/>
      </c>
    </row>
    <row r="282" spans="4:4">
      <c r="D282" t="str">
        <f t="shared" si="4"/>
        <v/>
      </c>
    </row>
    <row r="283" spans="4:4">
      <c r="D283" t="str">
        <f t="shared" si="4"/>
        <v/>
      </c>
    </row>
    <row r="284" spans="4:4">
      <c r="D284" t="str">
        <f t="shared" si="4"/>
        <v/>
      </c>
    </row>
    <row r="285" spans="4:4">
      <c r="D285" t="str">
        <f t="shared" si="4"/>
        <v/>
      </c>
    </row>
    <row r="286" spans="4:4">
      <c r="D286" t="str">
        <f t="shared" si="4"/>
        <v/>
      </c>
    </row>
    <row r="287" spans="4:4">
      <c r="D287" t="str">
        <f t="shared" si="4"/>
        <v/>
      </c>
    </row>
    <row r="288" spans="4:4">
      <c r="D288" t="str">
        <f t="shared" si="4"/>
        <v/>
      </c>
    </row>
    <row r="289" spans="4:4">
      <c r="D289" t="str">
        <f t="shared" si="4"/>
        <v/>
      </c>
    </row>
    <row r="290" spans="4:4">
      <c r="D290" t="str">
        <f t="shared" si="4"/>
        <v/>
      </c>
    </row>
    <row r="291" spans="4:4">
      <c r="D291" t="str">
        <f t="shared" si="4"/>
        <v/>
      </c>
    </row>
    <row r="292" spans="4:4">
      <c r="D292" t="str">
        <f t="shared" si="4"/>
        <v/>
      </c>
    </row>
    <row r="293" spans="4:4">
      <c r="D293" t="str">
        <f t="shared" si="4"/>
        <v/>
      </c>
    </row>
    <row r="294" spans="4:4">
      <c r="D294" t="str">
        <f t="shared" si="4"/>
        <v/>
      </c>
    </row>
    <row r="295" spans="4:4">
      <c r="D295" t="str">
        <f t="shared" si="4"/>
        <v/>
      </c>
    </row>
    <row r="296" spans="4:4">
      <c r="D296" t="str">
        <f t="shared" si="4"/>
        <v/>
      </c>
    </row>
    <row r="297" spans="4:4">
      <c r="D297" t="str">
        <f t="shared" si="4"/>
        <v/>
      </c>
    </row>
    <row r="298" spans="4:4">
      <c r="D298" t="str">
        <f t="shared" si="4"/>
        <v/>
      </c>
    </row>
    <row r="299" spans="4:4">
      <c r="D299" t="str">
        <f t="shared" si="4"/>
        <v/>
      </c>
    </row>
    <row r="300" spans="4:4">
      <c r="D300" t="str">
        <f t="shared" si="4"/>
        <v/>
      </c>
    </row>
    <row r="301" spans="4:4">
      <c r="D301" t="str">
        <f t="shared" si="4"/>
        <v/>
      </c>
    </row>
    <row r="302" spans="4:4">
      <c r="D302" t="str">
        <f t="shared" si="4"/>
        <v/>
      </c>
    </row>
    <row r="303" spans="4:4">
      <c r="D303" t="str">
        <f t="shared" si="4"/>
        <v/>
      </c>
    </row>
    <row r="304" spans="4:4">
      <c r="D304" t="str">
        <f t="shared" si="4"/>
        <v/>
      </c>
    </row>
    <row r="305" spans="4:4">
      <c r="D305" t="str">
        <f t="shared" si="4"/>
        <v/>
      </c>
    </row>
    <row r="306" spans="4:4">
      <c r="D306" t="str">
        <f t="shared" si="4"/>
        <v/>
      </c>
    </row>
    <row r="307" spans="4:4">
      <c r="D307" t="str">
        <f t="shared" si="4"/>
        <v/>
      </c>
    </row>
    <row r="308" spans="4:4">
      <c r="D308" t="str">
        <f t="shared" si="4"/>
        <v/>
      </c>
    </row>
    <row r="309" spans="4:4">
      <c r="D309" t="str">
        <f t="shared" si="4"/>
        <v/>
      </c>
    </row>
    <row r="310" spans="4:4">
      <c r="D310" t="str">
        <f t="shared" si="4"/>
        <v/>
      </c>
    </row>
    <row r="311" spans="4:4">
      <c r="D311" t="str">
        <f t="shared" si="4"/>
        <v/>
      </c>
    </row>
    <row r="312" spans="4:4">
      <c r="D312" t="str">
        <f t="shared" si="4"/>
        <v/>
      </c>
    </row>
    <row r="313" spans="4:4">
      <c r="D313" t="str">
        <f t="shared" si="4"/>
        <v/>
      </c>
    </row>
    <row r="314" spans="4:4">
      <c r="D314" t="str">
        <f t="shared" si="4"/>
        <v/>
      </c>
    </row>
    <row r="315" spans="4:4">
      <c r="D315" t="str">
        <f t="shared" si="4"/>
        <v/>
      </c>
    </row>
    <row r="316" spans="4:4">
      <c r="D316" t="str">
        <f t="shared" si="4"/>
        <v/>
      </c>
    </row>
    <row r="317" spans="4:4">
      <c r="D317" t="str">
        <f t="shared" si="4"/>
        <v/>
      </c>
    </row>
    <row r="318" spans="4:4">
      <c r="D318" t="str">
        <f t="shared" si="4"/>
        <v/>
      </c>
    </row>
    <row r="319" spans="4:4">
      <c r="D319" t="str">
        <f t="shared" si="4"/>
        <v/>
      </c>
    </row>
    <row r="320" spans="4:4">
      <c r="D320" t="str">
        <f t="shared" si="4"/>
        <v/>
      </c>
    </row>
    <row r="321" spans="4:4">
      <c r="D321" t="str">
        <f t="shared" si="4"/>
        <v/>
      </c>
    </row>
    <row r="322" spans="4:4">
      <c r="D322" t="str">
        <f t="shared" ref="D322:D385" si="5">IFERROR(VLOOKUP(B322, MasterData, 2, FALSE), "")</f>
        <v/>
      </c>
    </row>
    <row r="323" spans="4:4">
      <c r="D323" t="str">
        <f t="shared" si="5"/>
        <v/>
      </c>
    </row>
    <row r="324" spans="4:4">
      <c r="D324" t="str">
        <f t="shared" si="5"/>
        <v/>
      </c>
    </row>
    <row r="325" spans="4:4">
      <c r="D325" t="str">
        <f t="shared" si="5"/>
        <v/>
      </c>
    </row>
    <row r="326" spans="4:4">
      <c r="D326" t="str">
        <f t="shared" si="5"/>
        <v/>
      </c>
    </row>
    <row r="327" spans="4:4">
      <c r="D327" t="str">
        <f t="shared" si="5"/>
        <v/>
      </c>
    </row>
    <row r="328" spans="4:4">
      <c r="D328" t="str">
        <f t="shared" si="5"/>
        <v/>
      </c>
    </row>
    <row r="329" spans="4:4">
      <c r="D329" t="str">
        <f t="shared" si="5"/>
        <v/>
      </c>
    </row>
    <row r="330" spans="4:4">
      <c r="D330" t="str">
        <f t="shared" si="5"/>
        <v/>
      </c>
    </row>
    <row r="331" spans="4:4">
      <c r="D331" t="str">
        <f t="shared" si="5"/>
        <v/>
      </c>
    </row>
    <row r="332" spans="4:4">
      <c r="D332" t="str">
        <f t="shared" si="5"/>
        <v/>
      </c>
    </row>
    <row r="333" spans="4:4">
      <c r="D333" t="str">
        <f t="shared" si="5"/>
        <v/>
      </c>
    </row>
    <row r="334" spans="4:4">
      <c r="D334" t="str">
        <f t="shared" si="5"/>
        <v/>
      </c>
    </row>
    <row r="335" spans="4:4">
      <c r="D335" t="str">
        <f t="shared" si="5"/>
        <v/>
      </c>
    </row>
    <row r="336" spans="4:4">
      <c r="D336" t="str">
        <f t="shared" si="5"/>
        <v/>
      </c>
    </row>
    <row r="337" spans="4:4">
      <c r="D337" t="str">
        <f t="shared" si="5"/>
        <v/>
      </c>
    </row>
    <row r="338" spans="4:4">
      <c r="D338" t="str">
        <f t="shared" si="5"/>
        <v/>
      </c>
    </row>
    <row r="339" spans="4:4">
      <c r="D339" t="str">
        <f t="shared" si="5"/>
        <v/>
      </c>
    </row>
    <row r="340" spans="4:4">
      <c r="D340" t="str">
        <f t="shared" si="5"/>
        <v/>
      </c>
    </row>
    <row r="341" spans="4:4">
      <c r="D341" t="str">
        <f t="shared" si="5"/>
        <v/>
      </c>
    </row>
    <row r="342" spans="4:4">
      <c r="D342" t="str">
        <f t="shared" si="5"/>
        <v/>
      </c>
    </row>
    <row r="343" spans="4:4">
      <c r="D343" t="str">
        <f t="shared" si="5"/>
        <v/>
      </c>
    </row>
    <row r="344" spans="4:4">
      <c r="D344" t="str">
        <f t="shared" si="5"/>
        <v/>
      </c>
    </row>
    <row r="345" spans="4:4">
      <c r="D345" t="str">
        <f t="shared" si="5"/>
        <v/>
      </c>
    </row>
    <row r="346" spans="4:4">
      <c r="D346" t="str">
        <f t="shared" si="5"/>
        <v/>
      </c>
    </row>
    <row r="347" spans="4:4">
      <c r="D347" t="str">
        <f t="shared" si="5"/>
        <v/>
      </c>
    </row>
    <row r="348" spans="4:4">
      <c r="D348" t="str">
        <f t="shared" si="5"/>
        <v/>
      </c>
    </row>
    <row r="349" spans="4:4">
      <c r="D349" t="str">
        <f t="shared" si="5"/>
        <v/>
      </c>
    </row>
    <row r="350" spans="4:4">
      <c r="D350" t="str">
        <f t="shared" si="5"/>
        <v/>
      </c>
    </row>
    <row r="351" spans="4:4">
      <c r="D351" t="str">
        <f t="shared" si="5"/>
        <v/>
      </c>
    </row>
    <row r="352" spans="4:4">
      <c r="D352" t="str">
        <f t="shared" si="5"/>
        <v/>
      </c>
    </row>
    <row r="353" spans="4:4">
      <c r="D353" t="str">
        <f t="shared" si="5"/>
        <v/>
      </c>
    </row>
    <row r="354" spans="4:4">
      <c r="D354" t="str">
        <f t="shared" si="5"/>
        <v/>
      </c>
    </row>
    <row r="355" spans="4:4">
      <c r="D355" t="str">
        <f t="shared" si="5"/>
        <v/>
      </c>
    </row>
    <row r="356" spans="4:4">
      <c r="D356" t="str">
        <f t="shared" si="5"/>
        <v/>
      </c>
    </row>
    <row r="357" spans="4:4">
      <c r="D357" t="str">
        <f t="shared" si="5"/>
        <v/>
      </c>
    </row>
    <row r="358" spans="4:4">
      <c r="D358" t="str">
        <f t="shared" si="5"/>
        <v/>
      </c>
    </row>
    <row r="359" spans="4:4">
      <c r="D359" t="str">
        <f t="shared" si="5"/>
        <v/>
      </c>
    </row>
    <row r="360" spans="4:4">
      <c r="D360" t="str">
        <f t="shared" si="5"/>
        <v/>
      </c>
    </row>
    <row r="361" spans="4:4">
      <c r="D361" t="str">
        <f t="shared" si="5"/>
        <v/>
      </c>
    </row>
    <row r="362" spans="4:4">
      <c r="D362" t="str">
        <f t="shared" si="5"/>
        <v/>
      </c>
    </row>
    <row r="363" spans="4:4">
      <c r="D363" t="str">
        <f t="shared" si="5"/>
        <v/>
      </c>
    </row>
    <row r="364" spans="4:4">
      <c r="D364" t="str">
        <f t="shared" si="5"/>
        <v/>
      </c>
    </row>
    <row r="365" spans="4:4">
      <c r="D365" t="str">
        <f t="shared" si="5"/>
        <v/>
      </c>
    </row>
    <row r="366" spans="4:4">
      <c r="D366" t="str">
        <f t="shared" si="5"/>
        <v/>
      </c>
    </row>
    <row r="367" spans="4:4">
      <c r="D367" t="str">
        <f t="shared" si="5"/>
        <v/>
      </c>
    </row>
    <row r="368" spans="4:4">
      <c r="D368" t="str">
        <f t="shared" si="5"/>
        <v/>
      </c>
    </row>
    <row r="369" spans="4:4">
      <c r="D369" t="str">
        <f t="shared" si="5"/>
        <v/>
      </c>
    </row>
    <row r="370" spans="4:4">
      <c r="D370" t="str">
        <f t="shared" si="5"/>
        <v/>
      </c>
    </row>
    <row r="371" spans="4:4">
      <c r="D371" t="str">
        <f t="shared" si="5"/>
        <v/>
      </c>
    </row>
    <row r="372" spans="4:4">
      <c r="D372" t="str">
        <f t="shared" si="5"/>
        <v/>
      </c>
    </row>
    <row r="373" spans="4:4">
      <c r="D373" t="str">
        <f t="shared" si="5"/>
        <v/>
      </c>
    </row>
    <row r="374" spans="4:4">
      <c r="D374" t="str">
        <f t="shared" si="5"/>
        <v/>
      </c>
    </row>
    <row r="375" spans="4:4">
      <c r="D375" t="str">
        <f t="shared" si="5"/>
        <v/>
      </c>
    </row>
    <row r="376" spans="4:4">
      <c r="D376" t="str">
        <f t="shared" si="5"/>
        <v/>
      </c>
    </row>
    <row r="377" spans="4:4">
      <c r="D377" t="str">
        <f t="shared" si="5"/>
        <v/>
      </c>
    </row>
    <row r="378" spans="4:4">
      <c r="D378" t="str">
        <f t="shared" si="5"/>
        <v/>
      </c>
    </row>
    <row r="379" spans="4:4">
      <c r="D379" t="str">
        <f t="shared" si="5"/>
        <v/>
      </c>
    </row>
    <row r="380" spans="4:4">
      <c r="D380" t="str">
        <f t="shared" si="5"/>
        <v/>
      </c>
    </row>
    <row r="381" spans="4:4">
      <c r="D381" t="str">
        <f t="shared" si="5"/>
        <v/>
      </c>
    </row>
    <row r="382" spans="4:4">
      <c r="D382" t="str">
        <f t="shared" si="5"/>
        <v/>
      </c>
    </row>
    <row r="383" spans="4:4">
      <c r="D383" t="str">
        <f t="shared" si="5"/>
        <v/>
      </c>
    </row>
    <row r="384" spans="4:4">
      <c r="D384" t="str">
        <f t="shared" si="5"/>
        <v/>
      </c>
    </row>
    <row r="385" spans="4:4">
      <c r="D385" t="str">
        <f t="shared" si="5"/>
        <v/>
      </c>
    </row>
    <row r="386" spans="4:4">
      <c r="D386" t="str">
        <f t="shared" ref="D386:D449" si="6">IFERROR(VLOOKUP(B386, MasterData, 2, FALSE), "")</f>
        <v/>
      </c>
    </row>
    <row r="387" spans="4:4">
      <c r="D387" t="str">
        <f t="shared" si="6"/>
        <v/>
      </c>
    </row>
    <row r="388" spans="4:4">
      <c r="D388" t="str">
        <f t="shared" si="6"/>
        <v/>
      </c>
    </row>
    <row r="389" spans="4:4">
      <c r="D389" t="str">
        <f t="shared" si="6"/>
        <v/>
      </c>
    </row>
    <row r="390" spans="4:4">
      <c r="D390" t="str">
        <f t="shared" si="6"/>
        <v/>
      </c>
    </row>
    <row r="391" spans="4:4">
      <c r="D391" t="str">
        <f t="shared" si="6"/>
        <v/>
      </c>
    </row>
    <row r="392" spans="4:4">
      <c r="D392" t="str">
        <f t="shared" si="6"/>
        <v/>
      </c>
    </row>
    <row r="393" spans="4:4">
      <c r="D393" t="str">
        <f t="shared" si="6"/>
        <v/>
      </c>
    </row>
    <row r="394" spans="4:4">
      <c r="D394" t="str">
        <f t="shared" si="6"/>
        <v/>
      </c>
    </row>
    <row r="395" spans="4:4">
      <c r="D395" t="str">
        <f t="shared" si="6"/>
        <v/>
      </c>
    </row>
    <row r="396" spans="4:4">
      <c r="D396" t="str">
        <f t="shared" si="6"/>
        <v/>
      </c>
    </row>
    <row r="397" spans="4:4">
      <c r="D397" t="str">
        <f t="shared" si="6"/>
        <v/>
      </c>
    </row>
    <row r="398" spans="4:4">
      <c r="D398" t="str">
        <f t="shared" si="6"/>
        <v/>
      </c>
    </row>
    <row r="399" spans="4:4">
      <c r="D399" t="str">
        <f t="shared" si="6"/>
        <v/>
      </c>
    </row>
    <row r="400" spans="4:4">
      <c r="D400" t="str">
        <f t="shared" si="6"/>
        <v/>
      </c>
    </row>
    <row r="401" spans="4:4">
      <c r="D401" t="str">
        <f t="shared" si="6"/>
        <v/>
      </c>
    </row>
    <row r="402" spans="4:4">
      <c r="D402" t="str">
        <f t="shared" si="6"/>
        <v/>
      </c>
    </row>
    <row r="403" spans="4:4">
      <c r="D403" t="str">
        <f t="shared" si="6"/>
        <v/>
      </c>
    </row>
    <row r="404" spans="4:4">
      <c r="D404" t="str">
        <f t="shared" si="6"/>
        <v/>
      </c>
    </row>
    <row r="405" spans="4:4">
      <c r="D405" t="str">
        <f t="shared" si="6"/>
        <v/>
      </c>
    </row>
    <row r="406" spans="4:4">
      <c r="D406" t="str">
        <f t="shared" si="6"/>
        <v/>
      </c>
    </row>
    <row r="407" spans="4:4">
      <c r="D407" t="str">
        <f t="shared" si="6"/>
        <v/>
      </c>
    </row>
    <row r="408" spans="4:4">
      <c r="D408" t="str">
        <f t="shared" si="6"/>
        <v/>
      </c>
    </row>
    <row r="409" spans="4:4">
      <c r="D409" t="str">
        <f t="shared" si="6"/>
        <v/>
      </c>
    </row>
    <row r="410" spans="4:4">
      <c r="D410" t="str">
        <f t="shared" si="6"/>
        <v/>
      </c>
    </row>
    <row r="411" spans="4:4">
      <c r="D411" t="str">
        <f t="shared" si="6"/>
        <v/>
      </c>
    </row>
    <row r="412" spans="4:4">
      <c r="D412" t="str">
        <f t="shared" si="6"/>
        <v/>
      </c>
    </row>
    <row r="413" spans="4:4">
      <c r="D413" t="str">
        <f t="shared" si="6"/>
        <v/>
      </c>
    </row>
    <row r="414" spans="4:4">
      <c r="D414" t="str">
        <f t="shared" si="6"/>
        <v/>
      </c>
    </row>
    <row r="415" spans="4:4">
      <c r="D415" t="str">
        <f t="shared" si="6"/>
        <v/>
      </c>
    </row>
    <row r="416" spans="4:4">
      <c r="D416" t="str">
        <f t="shared" si="6"/>
        <v/>
      </c>
    </row>
    <row r="417" spans="4:4">
      <c r="D417" t="str">
        <f t="shared" si="6"/>
        <v/>
      </c>
    </row>
    <row r="418" spans="4:4">
      <c r="D418" t="str">
        <f t="shared" si="6"/>
        <v/>
      </c>
    </row>
    <row r="419" spans="4:4">
      <c r="D419" t="str">
        <f t="shared" si="6"/>
        <v/>
      </c>
    </row>
    <row r="420" spans="4:4">
      <c r="D420" t="str">
        <f t="shared" si="6"/>
        <v/>
      </c>
    </row>
    <row r="421" spans="4:4">
      <c r="D421" t="str">
        <f t="shared" si="6"/>
        <v/>
      </c>
    </row>
    <row r="422" spans="4:4">
      <c r="D422" t="str">
        <f t="shared" si="6"/>
        <v/>
      </c>
    </row>
    <row r="423" spans="4:4">
      <c r="D423" t="str">
        <f t="shared" si="6"/>
        <v/>
      </c>
    </row>
    <row r="424" spans="4:4">
      <c r="D424" t="str">
        <f t="shared" si="6"/>
        <v/>
      </c>
    </row>
    <row r="425" spans="4:4">
      <c r="D425" t="str">
        <f t="shared" si="6"/>
        <v/>
      </c>
    </row>
    <row r="426" spans="4:4">
      <c r="D426" t="str">
        <f t="shared" si="6"/>
        <v/>
      </c>
    </row>
    <row r="427" spans="4:4">
      <c r="D427" t="str">
        <f t="shared" si="6"/>
        <v/>
      </c>
    </row>
    <row r="428" spans="4:4">
      <c r="D428" t="str">
        <f t="shared" si="6"/>
        <v/>
      </c>
    </row>
    <row r="429" spans="4:4">
      <c r="D429" t="str">
        <f t="shared" si="6"/>
        <v/>
      </c>
    </row>
    <row r="430" spans="4:4">
      <c r="D430" t="str">
        <f t="shared" si="6"/>
        <v/>
      </c>
    </row>
    <row r="431" spans="4:4">
      <c r="D431" t="str">
        <f t="shared" si="6"/>
        <v/>
      </c>
    </row>
    <row r="432" spans="4:4">
      <c r="D432" t="str">
        <f t="shared" si="6"/>
        <v/>
      </c>
    </row>
    <row r="433" spans="4:4">
      <c r="D433" t="str">
        <f t="shared" si="6"/>
        <v/>
      </c>
    </row>
    <row r="434" spans="4:4">
      <c r="D434" t="str">
        <f t="shared" si="6"/>
        <v/>
      </c>
    </row>
    <row r="435" spans="4:4">
      <c r="D435" t="str">
        <f t="shared" si="6"/>
        <v/>
      </c>
    </row>
    <row r="436" spans="4:4">
      <c r="D436" t="str">
        <f t="shared" si="6"/>
        <v/>
      </c>
    </row>
    <row r="437" spans="4:4">
      <c r="D437" t="str">
        <f t="shared" si="6"/>
        <v/>
      </c>
    </row>
    <row r="438" spans="4:4">
      <c r="D438" t="str">
        <f t="shared" si="6"/>
        <v/>
      </c>
    </row>
    <row r="439" spans="4:4">
      <c r="D439" t="str">
        <f t="shared" si="6"/>
        <v/>
      </c>
    </row>
    <row r="440" spans="4:4">
      <c r="D440" t="str">
        <f t="shared" si="6"/>
        <v/>
      </c>
    </row>
    <row r="441" spans="4:4">
      <c r="D441" t="str">
        <f t="shared" si="6"/>
        <v/>
      </c>
    </row>
    <row r="442" spans="4:4">
      <c r="D442" t="str">
        <f t="shared" si="6"/>
        <v/>
      </c>
    </row>
    <row r="443" spans="4:4">
      <c r="D443" t="str">
        <f t="shared" si="6"/>
        <v/>
      </c>
    </row>
    <row r="444" spans="4:4">
      <c r="D444" t="str">
        <f t="shared" si="6"/>
        <v/>
      </c>
    </row>
    <row r="445" spans="4:4">
      <c r="D445" t="str">
        <f t="shared" si="6"/>
        <v/>
      </c>
    </row>
    <row r="446" spans="4:4">
      <c r="D446" t="str">
        <f t="shared" si="6"/>
        <v/>
      </c>
    </row>
    <row r="447" spans="4:4">
      <c r="D447" t="str">
        <f t="shared" si="6"/>
        <v/>
      </c>
    </row>
    <row r="448" spans="4:4">
      <c r="D448" t="str">
        <f t="shared" si="6"/>
        <v/>
      </c>
    </row>
    <row r="449" spans="4:4">
      <c r="D449" t="str">
        <f t="shared" si="6"/>
        <v/>
      </c>
    </row>
    <row r="450" spans="4:4">
      <c r="D450" t="str">
        <f t="shared" ref="D450:D500" si="7">IFERROR(VLOOKUP(B450, MasterData, 2, FALSE), "")</f>
        <v/>
      </c>
    </row>
    <row r="451" spans="4:4">
      <c r="D451" t="str">
        <f t="shared" si="7"/>
        <v/>
      </c>
    </row>
    <row r="452" spans="4:4">
      <c r="D452" t="str">
        <f t="shared" si="7"/>
        <v/>
      </c>
    </row>
    <row r="453" spans="4:4">
      <c r="D453" t="str">
        <f t="shared" si="7"/>
        <v/>
      </c>
    </row>
    <row r="454" spans="4:4">
      <c r="D454" t="str">
        <f t="shared" si="7"/>
        <v/>
      </c>
    </row>
    <row r="455" spans="4:4">
      <c r="D455" t="str">
        <f t="shared" si="7"/>
        <v/>
      </c>
    </row>
    <row r="456" spans="4:4">
      <c r="D456" t="str">
        <f t="shared" si="7"/>
        <v/>
      </c>
    </row>
    <row r="457" spans="4:4">
      <c r="D457" t="str">
        <f t="shared" si="7"/>
        <v/>
      </c>
    </row>
    <row r="458" spans="4:4">
      <c r="D458" t="str">
        <f t="shared" si="7"/>
        <v/>
      </c>
    </row>
    <row r="459" spans="4:4">
      <c r="D459" t="str">
        <f t="shared" si="7"/>
        <v/>
      </c>
    </row>
    <row r="460" spans="4:4">
      <c r="D460" t="str">
        <f t="shared" si="7"/>
        <v/>
      </c>
    </row>
    <row r="461" spans="4:4">
      <c r="D461" t="str">
        <f t="shared" si="7"/>
        <v/>
      </c>
    </row>
    <row r="462" spans="4:4">
      <c r="D462" t="str">
        <f t="shared" si="7"/>
        <v/>
      </c>
    </row>
    <row r="463" spans="4:4">
      <c r="D463" t="str">
        <f t="shared" si="7"/>
        <v/>
      </c>
    </row>
    <row r="464" spans="4:4">
      <c r="D464" t="str">
        <f t="shared" si="7"/>
        <v/>
      </c>
    </row>
    <row r="465" spans="4:4">
      <c r="D465" t="str">
        <f t="shared" si="7"/>
        <v/>
      </c>
    </row>
    <row r="466" spans="4:4">
      <c r="D466" t="str">
        <f t="shared" si="7"/>
        <v/>
      </c>
    </row>
    <row r="467" spans="4:4">
      <c r="D467" t="str">
        <f t="shared" si="7"/>
        <v/>
      </c>
    </row>
    <row r="468" spans="4:4">
      <c r="D468" t="str">
        <f t="shared" si="7"/>
        <v/>
      </c>
    </row>
    <row r="469" spans="4:4">
      <c r="D469" t="str">
        <f t="shared" si="7"/>
        <v/>
      </c>
    </row>
    <row r="470" spans="4:4">
      <c r="D470" t="str">
        <f t="shared" si="7"/>
        <v/>
      </c>
    </row>
    <row r="471" spans="4:4">
      <c r="D471" t="str">
        <f t="shared" si="7"/>
        <v/>
      </c>
    </row>
    <row r="472" spans="4:4">
      <c r="D472" t="str">
        <f t="shared" si="7"/>
        <v/>
      </c>
    </row>
    <row r="473" spans="4:4">
      <c r="D473" t="str">
        <f t="shared" si="7"/>
        <v/>
      </c>
    </row>
    <row r="474" spans="4:4">
      <c r="D474" t="str">
        <f t="shared" si="7"/>
        <v/>
      </c>
    </row>
    <row r="475" spans="4:4">
      <c r="D475" t="str">
        <f t="shared" si="7"/>
        <v/>
      </c>
    </row>
    <row r="476" spans="4:4">
      <c r="D476" t="str">
        <f t="shared" si="7"/>
        <v/>
      </c>
    </row>
    <row r="477" spans="4:4">
      <c r="D477" t="str">
        <f t="shared" si="7"/>
        <v/>
      </c>
    </row>
    <row r="478" spans="4:4">
      <c r="D478" t="str">
        <f t="shared" si="7"/>
        <v/>
      </c>
    </row>
    <row r="479" spans="4:4">
      <c r="D479" t="str">
        <f t="shared" si="7"/>
        <v/>
      </c>
    </row>
    <row r="480" spans="4:4">
      <c r="D480" t="str">
        <f t="shared" si="7"/>
        <v/>
      </c>
    </row>
    <row r="481" spans="4:4">
      <c r="D481" t="str">
        <f t="shared" si="7"/>
        <v/>
      </c>
    </row>
    <row r="482" spans="4:4">
      <c r="D482" t="str">
        <f t="shared" si="7"/>
        <v/>
      </c>
    </row>
    <row r="483" spans="4:4">
      <c r="D483" t="str">
        <f t="shared" si="7"/>
        <v/>
      </c>
    </row>
    <row r="484" spans="4:4">
      <c r="D484" t="str">
        <f t="shared" si="7"/>
        <v/>
      </c>
    </row>
    <row r="485" spans="4:4">
      <c r="D485" t="str">
        <f t="shared" si="7"/>
        <v/>
      </c>
    </row>
    <row r="486" spans="4:4">
      <c r="D486" t="str">
        <f t="shared" si="7"/>
        <v/>
      </c>
    </row>
    <row r="487" spans="4:4">
      <c r="D487" t="str">
        <f t="shared" si="7"/>
        <v/>
      </c>
    </row>
    <row r="488" spans="4:4">
      <c r="D488" t="str">
        <f t="shared" si="7"/>
        <v/>
      </c>
    </row>
    <row r="489" spans="4:4">
      <c r="D489" t="str">
        <f t="shared" si="7"/>
        <v/>
      </c>
    </row>
    <row r="490" spans="4:4">
      <c r="D490" t="str">
        <f t="shared" si="7"/>
        <v/>
      </c>
    </row>
    <row r="491" spans="4:4">
      <c r="D491" t="str">
        <f t="shared" si="7"/>
        <v/>
      </c>
    </row>
    <row r="492" spans="4:4">
      <c r="D492" t="str">
        <f t="shared" si="7"/>
        <v/>
      </c>
    </row>
    <row r="493" spans="4:4">
      <c r="D493" t="str">
        <f t="shared" si="7"/>
        <v/>
      </c>
    </row>
    <row r="494" spans="4:4">
      <c r="D494" t="str">
        <f t="shared" si="7"/>
        <v/>
      </c>
    </row>
    <row r="495" spans="4:4">
      <c r="D495" t="str">
        <f t="shared" si="7"/>
        <v/>
      </c>
    </row>
    <row r="496" spans="4:4">
      <c r="D496" t="str">
        <f t="shared" si="7"/>
        <v/>
      </c>
    </row>
    <row r="497" spans="4:4">
      <c r="D497" t="str">
        <f t="shared" si="7"/>
        <v/>
      </c>
    </row>
    <row r="498" spans="4:4">
      <c r="D498" t="str">
        <f t="shared" si="7"/>
        <v/>
      </c>
    </row>
    <row r="499" spans="4:4">
      <c r="D499" t="str">
        <f t="shared" si="7"/>
        <v/>
      </c>
    </row>
    <row r="500" spans="4:4">
      <c r="D500" t="str">
        <f t="shared" si="7"/>
        <v/>
      </c>
    </row>
  </sheetData>
  <dataValidations count="3">
    <dataValidation type="list" allowBlank="1" showInputMessage="1" showErrorMessage="1" sqref="B1 B501:B1048576" xr:uid="{58ED3839-5F8C-4E22-BBD8-B2CEF85DB79B}">
      <formula1>"Natural gas, Lignite, Fuel oil A, Fuel oil C, Gas/Diesel oil, Anthracite, Sub-bituminous coal, Jet Kerosene, LPG, Electricity"</formula1>
    </dataValidation>
    <dataValidation showDropDown="1" showInputMessage="1" showErrorMessage="1" sqref="D1" xr:uid="{1F830280-65BB-426A-9B2B-BF833DC9F6B2}"/>
    <dataValidation type="list" allowBlank="1" showInputMessage="1" showErrorMessage="1" sqref="E2:E500" xr:uid="{39A22B0E-9BA0-4DEF-A594-BE0AA8164CE1}">
      <formula1>"Stationary Combustion, Mobile Combustion"</formula1>
    </dataValidation>
  </dataValidations>
  <pageMargins left="0.75" right="0.75" top="1" bottom="1" header="0.5" footer="0.5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007F17-FFAD-44F9-8CCF-7E8B3106FEE1}">
          <x14:formula1>
            <xm:f>Master!$A$2:$A$11</xm:f>
          </x14:formula1>
          <xm:sqref>B2:B500</xm:sqref>
        </x14:dataValidation>
        <x14:dataValidation type="list" showDropDown="1" showInputMessage="1" showErrorMessage="1" xr:uid="{9BD7A503-DBA0-4DDD-83CB-65E5026CB7F6}">
          <x14:formula1>
            <xm:f>Master!$B$2:$B$11</xm:f>
          </x14:formula1>
          <xm:sqref>D501:D1048576 D2:D500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0"/>
  <sheetViews>
    <sheetView workbookViewId="0">
      <selection activeCell="D17" sqref="D17"/>
    </sheetView>
  </sheetViews>
  <sheetFormatPr defaultRowHeight="14.25"/>
  <cols>
    <col min="1" max="1" width="15.25" customWidth="1"/>
    <col min="2" max="2" width="19.5" customWidth="1"/>
    <col min="3" max="3" width="21.125" customWidth="1"/>
    <col min="4" max="4" width="8.875" customWidth="1"/>
    <col min="5" max="5" width="22.625" customWidth="1"/>
    <col min="6" max="6" width="19.5" customWidth="1"/>
  </cols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D2" t="str">
        <f t="shared" ref="D2:D65" si="0">IFERROR(VLOOKUP(B2, GMP, 2, FALSE), "")</f>
        <v/>
      </c>
    </row>
    <row r="3" spans="1:5">
      <c r="D3" t="str">
        <f t="shared" si="0"/>
        <v/>
      </c>
    </row>
    <row r="4" spans="1:5">
      <c r="D4" t="str">
        <f t="shared" si="0"/>
        <v/>
      </c>
    </row>
    <row r="5" spans="1:5">
      <c r="D5" t="str">
        <f t="shared" si="0"/>
        <v/>
      </c>
    </row>
    <row r="6" spans="1:5">
      <c r="D6" t="str">
        <f t="shared" si="0"/>
        <v/>
      </c>
    </row>
    <row r="7" spans="1:5">
      <c r="D7" t="str">
        <f t="shared" si="0"/>
        <v/>
      </c>
    </row>
    <row r="8" spans="1:5">
      <c r="D8" t="str">
        <f t="shared" si="0"/>
        <v/>
      </c>
    </row>
    <row r="9" spans="1:5">
      <c r="D9" t="str">
        <f t="shared" si="0"/>
        <v/>
      </c>
    </row>
    <row r="10" spans="1:5">
      <c r="D10" t="str">
        <f t="shared" si="0"/>
        <v/>
      </c>
    </row>
    <row r="11" spans="1:5">
      <c r="D11" t="str">
        <f t="shared" si="0"/>
        <v/>
      </c>
    </row>
    <row r="12" spans="1:5">
      <c r="D12" t="str">
        <f t="shared" si="0"/>
        <v/>
      </c>
    </row>
    <row r="13" spans="1:5">
      <c r="D13" t="str">
        <f t="shared" si="0"/>
        <v/>
      </c>
    </row>
    <row r="14" spans="1:5">
      <c r="D14" t="str">
        <f t="shared" si="0"/>
        <v/>
      </c>
    </row>
    <row r="15" spans="1:5">
      <c r="D15" t="str">
        <f t="shared" si="0"/>
        <v/>
      </c>
    </row>
    <row r="16" spans="1:5">
      <c r="D16" t="str">
        <f t="shared" si="0"/>
        <v/>
      </c>
    </row>
    <row r="17" spans="4:4">
      <c r="D17" t="str">
        <f t="shared" si="0"/>
        <v/>
      </c>
    </row>
    <row r="18" spans="4:4">
      <c r="D18" t="str">
        <f t="shared" si="0"/>
        <v/>
      </c>
    </row>
    <row r="19" spans="4:4">
      <c r="D19" t="str">
        <f t="shared" si="0"/>
        <v/>
      </c>
    </row>
    <row r="20" spans="4:4">
      <c r="D20" t="str">
        <f t="shared" si="0"/>
        <v/>
      </c>
    </row>
    <row r="21" spans="4:4">
      <c r="D21" t="str">
        <f t="shared" si="0"/>
        <v/>
      </c>
    </row>
    <row r="22" spans="4:4">
      <c r="D22" t="str">
        <f t="shared" si="0"/>
        <v/>
      </c>
    </row>
    <row r="23" spans="4:4">
      <c r="D23" t="str">
        <f t="shared" si="0"/>
        <v/>
      </c>
    </row>
    <row r="24" spans="4:4">
      <c r="D24" t="str">
        <f t="shared" si="0"/>
        <v/>
      </c>
    </row>
    <row r="25" spans="4:4">
      <c r="D25" t="str">
        <f t="shared" si="0"/>
        <v/>
      </c>
    </row>
    <row r="26" spans="4:4">
      <c r="D26" t="str">
        <f t="shared" si="0"/>
        <v/>
      </c>
    </row>
    <row r="27" spans="4:4">
      <c r="D27" t="str">
        <f t="shared" si="0"/>
        <v/>
      </c>
    </row>
    <row r="28" spans="4:4">
      <c r="D28" t="str">
        <f t="shared" si="0"/>
        <v/>
      </c>
    </row>
    <row r="29" spans="4:4">
      <c r="D29" t="str">
        <f t="shared" si="0"/>
        <v/>
      </c>
    </row>
    <row r="30" spans="4:4">
      <c r="D30" t="str">
        <f t="shared" si="0"/>
        <v/>
      </c>
    </row>
    <row r="31" spans="4:4">
      <c r="D31" t="str">
        <f t="shared" si="0"/>
        <v/>
      </c>
    </row>
    <row r="32" spans="4:4">
      <c r="D32" t="str">
        <f t="shared" si="0"/>
        <v/>
      </c>
    </row>
    <row r="33" spans="4:4">
      <c r="D33" t="str">
        <f t="shared" si="0"/>
        <v/>
      </c>
    </row>
    <row r="34" spans="4:4">
      <c r="D34" t="str">
        <f t="shared" si="0"/>
        <v/>
      </c>
    </row>
    <row r="35" spans="4:4">
      <c r="D35" t="str">
        <f t="shared" si="0"/>
        <v/>
      </c>
    </row>
    <row r="36" spans="4:4">
      <c r="D36" t="str">
        <f t="shared" si="0"/>
        <v/>
      </c>
    </row>
    <row r="37" spans="4:4">
      <c r="D37" t="str">
        <f t="shared" si="0"/>
        <v/>
      </c>
    </row>
    <row r="38" spans="4:4">
      <c r="D38" t="str">
        <f t="shared" si="0"/>
        <v/>
      </c>
    </row>
    <row r="39" spans="4:4">
      <c r="D39" t="str">
        <f t="shared" si="0"/>
        <v/>
      </c>
    </row>
    <row r="40" spans="4:4">
      <c r="D40" t="str">
        <f t="shared" si="0"/>
        <v/>
      </c>
    </row>
    <row r="41" spans="4:4">
      <c r="D41" t="str">
        <f t="shared" si="0"/>
        <v/>
      </c>
    </row>
    <row r="42" spans="4:4">
      <c r="D42" t="str">
        <f t="shared" si="0"/>
        <v/>
      </c>
    </row>
    <row r="43" spans="4:4">
      <c r="D43" t="str">
        <f t="shared" si="0"/>
        <v/>
      </c>
    </row>
    <row r="44" spans="4:4">
      <c r="D44" t="str">
        <f t="shared" si="0"/>
        <v/>
      </c>
    </row>
    <row r="45" spans="4:4">
      <c r="D45" t="str">
        <f t="shared" si="0"/>
        <v/>
      </c>
    </row>
    <row r="46" spans="4:4">
      <c r="D46" t="str">
        <f t="shared" si="0"/>
        <v/>
      </c>
    </row>
    <row r="47" spans="4:4">
      <c r="D47" t="str">
        <f t="shared" si="0"/>
        <v/>
      </c>
    </row>
    <row r="48" spans="4:4">
      <c r="D48" t="str">
        <f t="shared" si="0"/>
        <v/>
      </c>
    </row>
    <row r="49" spans="4:4">
      <c r="D49" t="str">
        <f t="shared" si="0"/>
        <v/>
      </c>
    </row>
    <row r="50" spans="4:4">
      <c r="D50" t="str">
        <f t="shared" si="0"/>
        <v/>
      </c>
    </row>
    <row r="51" spans="4:4">
      <c r="D51" t="str">
        <f t="shared" si="0"/>
        <v/>
      </c>
    </row>
    <row r="52" spans="4:4">
      <c r="D52" t="str">
        <f t="shared" si="0"/>
        <v/>
      </c>
    </row>
    <row r="53" spans="4:4">
      <c r="D53" t="str">
        <f t="shared" si="0"/>
        <v/>
      </c>
    </row>
    <row r="54" spans="4:4">
      <c r="D54" t="str">
        <f t="shared" si="0"/>
        <v/>
      </c>
    </row>
    <row r="55" spans="4:4">
      <c r="D55" t="str">
        <f t="shared" si="0"/>
        <v/>
      </c>
    </row>
    <row r="56" spans="4:4">
      <c r="D56" t="str">
        <f t="shared" si="0"/>
        <v/>
      </c>
    </row>
    <row r="57" spans="4:4">
      <c r="D57" t="str">
        <f t="shared" si="0"/>
        <v/>
      </c>
    </row>
    <row r="58" spans="4:4">
      <c r="D58" t="str">
        <f t="shared" si="0"/>
        <v/>
      </c>
    </row>
    <row r="59" spans="4:4">
      <c r="D59" t="str">
        <f t="shared" si="0"/>
        <v/>
      </c>
    </row>
    <row r="60" spans="4:4">
      <c r="D60" t="str">
        <f t="shared" si="0"/>
        <v/>
      </c>
    </row>
    <row r="61" spans="4:4">
      <c r="D61" t="str">
        <f t="shared" si="0"/>
        <v/>
      </c>
    </row>
    <row r="62" spans="4:4">
      <c r="D62" t="str">
        <f t="shared" si="0"/>
        <v/>
      </c>
    </row>
    <row r="63" spans="4:4">
      <c r="D63" t="str">
        <f t="shared" si="0"/>
        <v/>
      </c>
    </row>
    <row r="64" spans="4:4">
      <c r="D64" t="str">
        <f t="shared" si="0"/>
        <v/>
      </c>
    </row>
    <row r="65" spans="4:4">
      <c r="D65" t="str">
        <f t="shared" si="0"/>
        <v/>
      </c>
    </row>
    <row r="66" spans="4:4">
      <c r="D66" t="str">
        <f t="shared" ref="D66:D129" si="1">IFERROR(VLOOKUP(B66, GMP, 2, FALSE), "")</f>
        <v/>
      </c>
    </row>
    <row r="67" spans="4:4">
      <c r="D67" t="str">
        <f t="shared" si="1"/>
        <v/>
      </c>
    </row>
    <row r="68" spans="4:4">
      <c r="D68" t="str">
        <f t="shared" si="1"/>
        <v/>
      </c>
    </row>
    <row r="69" spans="4:4">
      <c r="D69" t="str">
        <f t="shared" si="1"/>
        <v/>
      </c>
    </row>
    <row r="70" spans="4:4">
      <c r="D70" t="str">
        <f t="shared" si="1"/>
        <v/>
      </c>
    </row>
    <row r="71" spans="4:4">
      <c r="D71" t="str">
        <f t="shared" si="1"/>
        <v/>
      </c>
    </row>
    <row r="72" spans="4:4">
      <c r="D72" t="str">
        <f t="shared" si="1"/>
        <v/>
      </c>
    </row>
    <row r="73" spans="4:4">
      <c r="D73" t="str">
        <f t="shared" si="1"/>
        <v/>
      </c>
    </row>
    <row r="74" spans="4:4">
      <c r="D74" t="str">
        <f t="shared" si="1"/>
        <v/>
      </c>
    </row>
    <row r="75" spans="4:4">
      <c r="D75" t="str">
        <f t="shared" si="1"/>
        <v/>
      </c>
    </row>
    <row r="76" spans="4:4">
      <c r="D76" t="str">
        <f t="shared" si="1"/>
        <v/>
      </c>
    </row>
    <row r="77" spans="4:4">
      <c r="D77" t="str">
        <f t="shared" si="1"/>
        <v/>
      </c>
    </row>
    <row r="78" spans="4:4">
      <c r="D78" t="str">
        <f t="shared" si="1"/>
        <v/>
      </c>
    </row>
    <row r="79" spans="4:4">
      <c r="D79" t="str">
        <f t="shared" si="1"/>
        <v/>
      </c>
    </row>
    <row r="80" spans="4:4">
      <c r="D80" t="str">
        <f t="shared" si="1"/>
        <v/>
      </c>
    </row>
    <row r="81" spans="4:4">
      <c r="D81" t="str">
        <f t="shared" si="1"/>
        <v/>
      </c>
    </row>
    <row r="82" spans="4:4">
      <c r="D82" t="str">
        <f t="shared" si="1"/>
        <v/>
      </c>
    </row>
    <row r="83" spans="4:4">
      <c r="D83" t="str">
        <f t="shared" si="1"/>
        <v/>
      </c>
    </row>
    <row r="84" spans="4:4">
      <c r="D84" t="str">
        <f t="shared" si="1"/>
        <v/>
      </c>
    </row>
    <row r="85" spans="4:4">
      <c r="D85" t="str">
        <f t="shared" si="1"/>
        <v/>
      </c>
    </row>
    <row r="86" spans="4:4">
      <c r="D86" t="str">
        <f t="shared" si="1"/>
        <v/>
      </c>
    </row>
    <row r="87" spans="4:4">
      <c r="D87" t="str">
        <f t="shared" si="1"/>
        <v/>
      </c>
    </row>
    <row r="88" spans="4:4">
      <c r="D88" t="str">
        <f t="shared" si="1"/>
        <v/>
      </c>
    </row>
    <row r="89" spans="4:4">
      <c r="D89" t="str">
        <f t="shared" si="1"/>
        <v/>
      </c>
    </row>
    <row r="90" spans="4:4">
      <c r="D90" t="str">
        <f t="shared" si="1"/>
        <v/>
      </c>
    </row>
    <row r="91" spans="4:4">
      <c r="D91" t="str">
        <f t="shared" si="1"/>
        <v/>
      </c>
    </row>
    <row r="92" spans="4:4">
      <c r="D92" t="str">
        <f t="shared" si="1"/>
        <v/>
      </c>
    </row>
    <row r="93" spans="4:4">
      <c r="D93" t="str">
        <f t="shared" si="1"/>
        <v/>
      </c>
    </row>
    <row r="94" spans="4:4">
      <c r="D94" t="str">
        <f t="shared" si="1"/>
        <v/>
      </c>
    </row>
    <row r="95" spans="4:4">
      <c r="D95" t="str">
        <f t="shared" si="1"/>
        <v/>
      </c>
    </row>
    <row r="96" spans="4:4">
      <c r="D96" t="str">
        <f t="shared" si="1"/>
        <v/>
      </c>
    </row>
    <row r="97" spans="4:4">
      <c r="D97" t="str">
        <f t="shared" si="1"/>
        <v/>
      </c>
    </row>
    <row r="98" spans="4:4">
      <c r="D98" t="str">
        <f t="shared" si="1"/>
        <v/>
      </c>
    </row>
    <row r="99" spans="4:4">
      <c r="D99" t="str">
        <f t="shared" si="1"/>
        <v/>
      </c>
    </row>
    <row r="100" spans="4:4">
      <c r="D100" t="str">
        <f t="shared" si="1"/>
        <v/>
      </c>
    </row>
    <row r="101" spans="4:4">
      <c r="D101" t="str">
        <f t="shared" si="1"/>
        <v/>
      </c>
    </row>
    <row r="102" spans="4:4">
      <c r="D102" t="str">
        <f t="shared" si="1"/>
        <v/>
      </c>
    </row>
    <row r="103" spans="4:4">
      <c r="D103" t="str">
        <f t="shared" si="1"/>
        <v/>
      </c>
    </row>
    <row r="104" spans="4:4">
      <c r="D104" t="str">
        <f t="shared" si="1"/>
        <v/>
      </c>
    </row>
    <row r="105" spans="4:4">
      <c r="D105" t="str">
        <f t="shared" si="1"/>
        <v/>
      </c>
    </row>
    <row r="106" spans="4:4">
      <c r="D106" t="str">
        <f t="shared" si="1"/>
        <v/>
      </c>
    </row>
    <row r="107" spans="4:4">
      <c r="D107" t="str">
        <f t="shared" si="1"/>
        <v/>
      </c>
    </row>
    <row r="108" spans="4:4">
      <c r="D108" t="str">
        <f t="shared" si="1"/>
        <v/>
      </c>
    </row>
    <row r="109" spans="4:4">
      <c r="D109" t="str">
        <f t="shared" si="1"/>
        <v/>
      </c>
    </row>
    <row r="110" spans="4:4">
      <c r="D110" t="str">
        <f t="shared" si="1"/>
        <v/>
      </c>
    </row>
    <row r="111" spans="4:4">
      <c r="D111" t="str">
        <f t="shared" si="1"/>
        <v/>
      </c>
    </row>
    <row r="112" spans="4:4">
      <c r="D112" t="str">
        <f t="shared" si="1"/>
        <v/>
      </c>
    </row>
    <row r="113" spans="4:4">
      <c r="D113" t="str">
        <f t="shared" si="1"/>
        <v/>
      </c>
    </row>
    <row r="114" spans="4:4">
      <c r="D114" t="str">
        <f t="shared" si="1"/>
        <v/>
      </c>
    </row>
    <row r="115" spans="4:4">
      <c r="D115" t="str">
        <f t="shared" si="1"/>
        <v/>
      </c>
    </row>
    <row r="116" spans="4:4">
      <c r="D116" t="str">
        <f t="shared" si="1"/>
        <v/>
      </c>
    </row>
    <row r="117" spans="4:4">
      <c r="D117" t="str">
        <f t="shared" si="1"/>
        <v/>
      </c>
    </row>
    <row r="118" spans="4:4">
      <c r="D118" t="str">
        <f t="shared" si="1"/>
        <v/>
      </c>
    </row>
    <row r="119" spans="4:4">
      <c r="D119" t="str">
        <f t="shared" si="1"/>
        <v/>
      </c>
    </row>
    <row r="120" spans="4:4">
      <c r="D120" t="str">
        <f t="shared" si="1"/>
        <v/>
      </c>
    </row>
    <row r="121" spans="4:4">
      <c r="D121" t="str">
        <f t="shared" si="1"/>
        <v/>
      </c>
    </row>
    <row r="122" spans="4:4">
      <c r="D122" t="str">
        <f t="shared" si="1"/>
        <v/>
      </c>
    </row>
    <row r="123" spans="4:4">
      <c r="D123" t="str">
        <f t="shared" si="1"/>
        <v/>
      </c>
    </row>
    <row r="124" spans="4:4">
      <c r="D124" t="str">
        <f t="shared" si="1"/>
        <v/>
      </c>
    </row>
    <row r="125" spans="4:4">
      <c r="D125" t="str">
        <f t="shared" si="1"/>
        <v/>
      </c>
    </row>
    <row r="126" spans="4:4">
      <c r="D126" t="str">
        <f t="shared" si="1"/>
        <v/>
      </c>
    </row>
    <row r="127" spans="4:4">
      <c r="D127" t="str">
        <f t="shared" si="1"/>
        <v/>
      </c>
    </row>
    <row r="128" spans="4:4">
      <c r="D128" t="str">
        <f t="shared" si="1"/>
        <v/>
      </c>
    </row>
    <row r="129" spans="4:4">
      <c r="D129" t="str">
        <f t="shared" si="1"/>
        <v/>
      </c>
    </row>
    <row r="130" spans="4:4">
      <c r="D130" t="str">
        <f t="shared" ref="D130:D193" si="2">IFERROR(VLOOKUP(B130, GMP, 2, FALSE), "")</f>
        <v/>
      </c>
    </row>
    <row r="131" spans="4:4">
      <c r="D131" t="str">
        <f t="shared" si="2"/>
        <v/>
      </c>
    </row>
    <row r="132" spans="4:4">
      <c r="D132" t="str">
        <f t="shared" si="2"/>
        <v/>
      </c>
    </row>
    <row r="133" spans="4:4">
      <c r="D133" t="str">
        <f t="shared" si="2"/>
        <v/>
      </c>
    </row>
    <row r="134" spans="4:4">
      <c r="D134" t="str">
        <f t="shared" si="2"/>
        <v/>
      </c>
    </row>
    <row r="135" spans="4:4">
      <c r="D135" t="str">
        <f t="shared" si="2"/>
        <v/>
      </c>
    </row>
    <row r="136" spans="4:4">
      <c r="D136" t="str">
        <f t="shared" si="2"/>
        <v/>
      </c>
    </row>
    <row r="137" spans="4:4">
      <c r="D137" t="str">
        <f t="shared" si="2"/>
        <v/>
      </c>
    </row>
    <row r="138" spans="4:4">
      <c r="D138" t="str">
        <f t="shared" si="2"/>
        <v/>
      </c>
    </row>
    <row r="139" spans="4:4">
      <c r="D139" t="str">
        <f t="shared" si="2"/>
        <v/>
      </c>
    </row>
    <row r="140" spans="4:4">
      <c r="D140" t="str">
        <f t="shared" si="2"/>
        <v/>
      </c>
    </row>
    <row r="141" spans="4:4">
      <c r="D141" t="str">
        <f t="shared" si="2"/>
        <v/>
      </c>
    </row>
    <row r="142" spans="4:4">
      <c r="D142" t="str">
        <f t="shared" si="2"/>
        <v/>
      </c>
    </row>
    <row r="143" spans="4:4">
      <c r="D143" t="str">
        <f t="shared" si="2"/>
        <v/>
      </c>
    </row>
    <row r="144" spans="4:4">
      <c r="D144" t="str">
        <f t="shared" si="2"/>
        <v/>
      </c>
    </row>
    <row r="145" spans="4:4">
      <c r="D145" t="str">
        <f t="shared" si="2"/>
        <v/>
      </c>
    </row>
    <row r="146" spans="4:4">
      <c r="D146" t="str">
        <f t="shared" si="2"/>
        <v/>
      </c>
    </row>
    <row r="147" spans="4:4">
      <c r="D147" t="str">
        <f t="shared" si="2"/>
        <v/>
      </c>
    </row>
    <row r="148" spans="4:4">
      <c r="D148" t="str">
        <f t="shared" si="2"/>
        <v/>
      </c>
    </row>
    <row r="149" spans="4:4">
      <c r="D149" t="str">
        <f t="shared" si="2"/>
        <v/>
      </c>
    </row>
    <row r="150" spans="4:4">
      <c r="D150" t="str">
        <f t="shared" si="2"/>
        <v/>
      </c>
    </row>
    <row r="151" spans="4:4">
      <c r="D151" t="str">
        <f t="shared" si="2"/>
        <v/>
      </c>
    </row>
    <row r="152" spans="4:4">
      <c r="D152" t="str">
        <f t="shared" si="2"/>
        <v/>
      </c>
    </row>
    <row r="153" spans="4:4">
      <c r="D153" t="str">
        <f t="shared" si="2"/>
        <v/>
      </c>
    </row>
    <row r="154" spans="4:4">
      <c r="D154" t="str">
        <f t="shared" si="2"/>
        <v/>
      </c>
    </row>
    <row r="155" spans="4:4">
      <c r="D155" t="str">
        <f t="shared" si="2"/>
        <v/>
      </c>
    </row>
    <row r="156" spans="4:4">
      <c r="D156" t="str">
        <f t="shared" si="2"/>
        <v/>
      </c>
    </row>
    <row r="157" spans="4:4">
      <c r="D157" t="str">
        <f t="shared" si="2"/>
        <v/>
      </c>
    </row>
    <row r="158" spans="4:4">
      <c r="D158" t="str">
        <f t="shared" si="2"/>
        <v/>
      </c>
    </row>
    <row r="159" spans="4:4">
      <c r="D159" t="str">
        <f t="shared" si="2"/>
        <v/>
      </c>
    </row>
    <row r="160" spans="4:4">
      <c r="D160" t="str">
        <f t="shared" si="2"/>
        <v/>
      </c>
    </row>
    <row r="161" spans="4:4">
      <c r="D161" t="str">
        <f t="shared" si="2"/>
        <v/>
      </c>
    </row>
    <row r="162" spans="4:4">
      <c r="D162" t="str">
        <f t="shared" si="2"/>
        <v/>
      </c>
    </row>
    <row r="163" spans="4:4">
      <c r="D163" t="str">
        <f t="shared" si="2"/>
        <v/>
      </c>
    </row>
    <row r="164" spans="4:4">
      <c r="D164" t="str">
        <f t="shared" si="2"/>
        <v/>
      </c>
    </row>
    <row r="165" spans="4:4">
      <c r="D165" t="str">
        <f t="shared" si="2"/>
        <v/>
      </c>
    </row>
    <row r="166" spans="4:4">
      <c r="D166" t="str">
        <f t="shared" si="2"/>
        <v/>
      </c>
    </row>
    <row r="167" spans="4:4">
      <c r="D167" t="str">
        <f t="shared" si="2"/>
        <v/>
      </c>
    </row>
    <row r="168" spans="4:4">
      <c r="D168" t="str">
        <f t="shared" si="2"/>
        <v/>
      </c>
    </row>
    <row r="169" spans="4:4">
      <c r="D169" t="str">
        <f t="shared" si="2"/>
        <v/>
      </c>
    </row>
    <row r="170" spans="4:4">
      <c r="D170" t="str">
        <f t="shared" si="2"/>
        <v/>
      </c>
    </row>
    <row r="171" spans="4:4">
      <c r="D171" t="str">
        <f t="shared" si="2"/>
        <v/>
      </c>
    </row>
    <row r="172" spans="4:4">
      <c r="D172" t="str">
        <f t="shared" si="2"/>
        <v/>
      </c>
    </row>
    <row r="173" spans="4:4">
      <c r="D173" t="str">
        <f t="shared" si="2"/>
        <v/>
      </c>
    </row>
    <row r="174" spans="4:4">
      <c r="D174" t="str">
        <f t="shared" si="2"/>
        <v/>
      </c>
    </row>
    <row r="175" spans="4:4">
      <c r="D175" t="str">
        <f t="shared" si="2"/>
        <v/>
      </c>
    </row>
    <row r="176" spans="4:4">
      <c r="D176" t="str">
        <f t="shared" si="2"/>
        <v/>
      </c>
    </row>
    <row r="177" spans="4:4">
      <c r="D177" t="str">
        <f t="shared" si="2"/>
        <v/>
      </c>
    </row>
    <row r="178" spans="4:4">
      <c r="D178" t="str">
        <f t="shared" si="2"/>
        <v/>
      </c>
    </row>
    <row r="179" spans="4:4">
      <c r="D179" t="str">
        <f t="shared" si="2"/>
        <v/>
      </c>
    </row>
    <row r="180" spans="4:4">
      <c r="D180" t="str">
        <f t="shared" si="2"/>
        <v/>
      </c>
    </row>
    <row r="181" spans="4:4">
      <c r="D181" t="str">
        <f t="shared" si="2"/>
        <v/>
      </c>
    </row>
    <row r="182" spans="4:4">
      <c r="D182" t="str">
        <f t="shared" si="2"/>
        <v/>
      </c>
    </row>
    <row r="183" spans="4:4">
      <c r="D183" t="str">
        <f t="shared" si="2"/>
        <v/>
      </c>
    </row>
    <row r="184" spans="4:4">
      <c r="D184" t="str">
        <f t="shared" si="2"/>
        <v/>
      </c>
    </row>
    <row r="185" spans="4:4">
      <c r="D185" t="str">
        <f t="shared" si="2"/>
        <v/>
      </c>
    </row>
    <row r="186" spans="4:4">
      <c r="D186" t="str">
        <f t="shared" si="2"/>
        <v/>
      </c>
    </row>
    <row r="187" spans="4:4">
      <c r="D187" t="str">
        <f t="shared" si="2"/>
        <v/>
      </c>
    </row>
    <row r="188" spans="4:4">
      <c r="D188" t="str">
        <f t="shared" si="2"/>
        <v/>
      </c>
    </row>
    <row r="189" spans="4:4">
      <c r="D189" t="str">
        <f t="shared" si="2"/>
        <v/>
      </c>
    </row>
    <row r="190" spans="4:4">
      <c r="D190" t="str">
        <f t="shared" si="2"/>
        <v/>
      </c>
    </row>
    <row r="191" spans="4:4">
      <c r="D191" t="str">
        <f t="shared" si="2"/>
        <v/>
      </c>
    </row>
    <row r="192" spans="4:4">
      <c r="D192" t="str">
        <f t="shared" si="2"/>
        <v/>
      </c>
    </row>
    <row r="193" spans="4:4">
      <c r="D193" t="str">
        <f t="shared" si="2"/>
        <v/>
      </c>
    </row>
    <row r="194" spans="4:4">
      <c r="D194" t="str">
        <f t="shared" ref="D194:D257" si="3">IFERROR(VLOOKUP(B194, GMP, 2, FALSE), "")</f>
        <v/>
      </c>
    </row>
    <row r="195" spans="4:4">
      <c r="D195" t="str">
        <f t="shared" si="3"/>
        <v/>
      </c>
    </row>
    <row r="196" spans="4:4">
      <c r="D196" t="str">
        <f t="shared" si="3"/>
        <v/>
      </c>
    </row>
    <row r="197" spans="4:4">
      <c r="D197" t="str">
        <f t="shared" si="3"/>
        <v/>
      </c>
    </row>
    <row r="198" spans="4:4">
      <c r="D198" t="str">
        <f t="shared" si="3"/>
        <v/>
      </c>
    </row>
    <row r="199" spans="4:4">
      <c r="D199" t="str">
        <f t="shared" si="3"/>
        <v/>
      </c>
    </row>
    <row r="200" spans="4:4">
      <c r="D200" t="str">
        <f t="shared" si="3"/>
        <v/>
      </c>
    </row>
    <row r="201" spans="4:4">
      <c r="D201" t="str">
        <f t="shared" si="3"/>
        <v/>
      </c>
    </row>
    <row r="202" spans="4:4">
      <c r="D202" t="str">
        <f t="shared" si="3"/>
        <v/>
      </c>
    </row>
    <row r="203" spans="4:4">
      <c r="D203" t="str">
        <f t="shared" si="3"/>
        <v/>
      </c>
    </row>
    <row r="204" spans="4:4">
      <c r="D204" t="str">
        <f t="shared" si="3"/>
        <v/>
      </c>
    </row>
    <row r="205" spans="4:4">
      <c r="D205" t="str">
        <f t="shared" si="3"/>
        <v/>
      </c>
    </row>
    <row r="206" spans="4:4">
      <c r="D206" t="str">
        <f t="shared" si="3"/>
        <v/>
      </c>
    </row>
    <row r="207" spans="4:4">
      <c r="D207" t="str">
        <f t="shared" si="3"/>
        <v/>
      </c>
    </row>
    <row r="208" spans="4:4">
      <c r="D208" t="str">
        <f t="shared" si="3"/>
        <v/>
      </c>
    </row>
    <row r="209" spans="4:4">
      <c r="D209" t="str">
        <f t="shared" si="3"/>
        <v/>
      </c>
    </row>
    <row r="210" spans="4:4">
      <c r="D210" t="str">
        <f t="shared" si="3"/>
        <v/>
      </c>
    </row>
    <row r="211" spans="4:4">
      <c r="D211" t="str">
        <f t="shared" si="3"/>
        <v/>
      </c>
    </row>
    <row r="212" spans="4:4">
      <c r="D212" t="str">
        <f t="shared" si="3"/>
        <v/>
      </c>
    </row>
    <row r="213" spans="4:4">
      <c r="D213" t="str">
        <f t="shared" si="3"/>
        <v/>
      </c>
    </row>
    <row r="214" spans="4:4">
      <c r="D214" t="str">
        <f t="shared" si="3"/>
        <v/>
      </c>
    </row>
    <row r="215" spans="4:4">
      <c r="D215" t="str">
        <f t="shared" si="3"/>
        <v/>
      </c>
    </row>
    <row r="216" spans="4:4">
      <c r="D216" t="str">
        <f t="shared" si="3"/>
        <v/>
      </c>
    </row>
    <row r="217" spans="4:4">
      <c r="D217" t="str">
        <f t="shared" si="3"/>
        <v/>
      </c>
    </row>
    <row r="218" spans="4:4">
      <c r="D218" t="str">
        <f t="shared" si="3"/>
        <v/>
      </c>
    </row>
    <row r="219" spans="4:4">
      <c r="D219" t="str">
        <f t="shared" si="3"/>
        <v/>
      </c>
    </row>
    <row r="220" spans="4:4">
      <c r="D220" t="str">
        <f t="shared" si="3"/>
        <v/>
      </c>
    </row>
    <row r="221" spans="4:4">
      <c r="D221" t="str">
        <f t="shared" si="3"/>
        <v/>
      </c>
    </row>
    <row r="222" spans="4:4">
      <c r="D222" t="str">
        <f t="shared" si="3"/>
        <v/>
      </c>
    </row>
    <row r="223" spans="4:4">
      <c r="D223" t="str">
        <f t="shared" si="3"/>
        <v/>
      </c>
    </row>
    <row r="224" spans="4:4">
      <c r="D224" t="str">
        <f t="shared" si="3"/>
        <v/>
      </c>
    </row>
    <row r="225" spans="4:4">
      <c r="D225" t="str">
        <f t="shared" si="3"/>
        <v/>
      </c>
    </row>
    <row r="226" spans="4:4">
      <c r="D226" t="str">
        <f t="shared" si="3"/>
        <v/>
      </c>
    </row>
    <row r="227" spans="4:4">
      <c r="D227" t="str">
        <f t="shared" si="3"/>
        <v/>
      </c>
    </row>
    <row r="228" spans="4:4">
      <c r="D228" t="str">
        <f t="shared" si="3"/>
        <v/>
      </c>
    </row>
    <row r="229" spans="4:4">
      <c r="D229" t="str">
        <f t="shared" si="3"/>
        <v/>
      </c>
    </row>
    <row r="230" spans="4:4">
      <c r="D230" t="str">
        <f t="shared" si="3"/>
        <v/>
      </c>
    </row>
    <row r="231" spans="4:4">
      <c r="D231" t="str">
        <f t="shared" si="3"/>
        <v/>
      </c>
    </row>
    <row r="232" spans="4:4">
      <c r="D232" t="str">
        <f t="shared" si="3"/>
        <v/>
      </c>
    </row>
    <row r="233" spans="4:4">
      <c r="D233" t="str">
        <f t="shared" si="3"/>
        <v/>
      </c>
    </row>
    <row r="234" spans="4:4">
      <c r="D234" t="str">
        <f t="shared" si="3"/>
        <v/>
      </c>
    </row>
    <row r="235" spans="4:4">
      <c r="D235" t="str">
        <f t="shared" si="3"/>
        <v/>
      </c>
    </row>
    <row r="236" spans="4:4">
      <c r="D236" t="str">
        <f t="shared" si="3"/>
        <v/>
      </c>
    </row>
    <row r="237" spans="4:4">
      <c r="D237" t="str">
        <f t="shared" si="3"/>
        <v/>
      </c>
    </row>
    <row r="238" spans="4:4">
      <c r="D238" t="str">
        <f t="shared" si="3"/>
        <v/>
      </c>
    </row>
    <row r="239" spans="4:4">
      <c r="D239" t="str">
        <f t="shared" si="3"/>
        <v/>
      </c>
    </row>
    <row r="240" spans="4:4">
      <c r="D240" t="str">
        <f t="shared" si="3"/>
        <v/>
      </c>
    </row>
    <row r="241" spans="4:4">
      <c r="D241" t="str">
        <f t="shared" si="3"/>
        <v/>
      </c>
    </row>
    <row r="242" spans="4:4">
      <c r="D242" t="str">
        <f t="shared" si="3"/>
        <v/>
      </c>
    </row>
    <row r="243" spans="4:4">
      <c r="D243" t="str">
        <f t="shared" si="3"/>
        <v/>
      </c>
    </row>
    <row r="244" spans="4:4">
      <c r="D244" t="str">
        <f t="shared" si="3"/>
        <v/>
      </c>
    </row>
    <row r="245" spans="4:4">
      <c r="D245" t="str">
        <f t="shared" si="3"/>
        <v/>
      </c>
    </row>
    <row r="246" spans="4:4">
      <c r="D246" t="str">
        <f t="shared" si="3"/>
        <v/>
      </c>
    </row>
    <row r="247" spans="4:4">
      <c r="D247" t="str">
        <f t="shared" si="3"/>
        <v/>
      </c>
    </row>
    <row r="248" spans="4:4">
      <c r="D248" t="str">
        <f t="shared" si="3"/>
        <v/>
      </c>
    </row>
    <row r="249" spans="4:4">
      <c r="D249" t="str">
        <f t="shared" si="3"/>
        <v/>
      </c>
    </row>
    <row r="250" spans="4:4">
      <c r="D250" t="str">
        <f t="shared" si="3"/>
        <v/>
      </c>
    </row>
    <row r="251" spans="4:4">
      <c r="D251" t="str">
        <f t="shared" si="3"/>
        <v/>
      </c>
    </row>
    <row r="252" spans="4:4">
      <c r="D252" t="str">
        <f t="shared" si="3"/>
        <v/>
      </c>
    </row>
    <row r="253" spans="4:4">
      <c r="D253" t="str">
        <f t="shared" si="3"/>
        <v/>
      </c>
    </row>
    <row r="254" spans="4:4">
      <c r="D254" t="str">
        <f t="shared" si="3"/>
        <v/>
      </c>
    </row>
    <row r="255" spans="4:4">
      <c r="D255" t="str">
        <f t="shared" si="3"/>
        <v/>
      </c>
    </row>
    <row r="256" spans="4:4">
      <c r="D256" t="str">
        <f t="shared" si="3"/>
        <v/>
      </c>
    </row>
    <row r="257" spans="4:4">
      <c r="D257" t="str">
        <f t="shared" si="3"/>
        <v/>
      </c>
    </row>
    <row r="258" spans="4:4">
      <c r="D258" t="str">
        <f t="shared" ref="D258:D321" si="4">IFERROR(VLOOKUP(B258, GMP, 2, FALSE), "")</f>
        <v/>
      </c>
    </row>
    <row r="259" spans="4:4">
      <c r="D259" t="str">
        <f t="shared" si="4"/>
        <v/>
      </c>
    </row>
    <row r="260" spans="4:4">
      <c r="D260" t="str">
        <f t="shared" si="4"/>
        <v/>
      </c>
    </row>
    <row r="261" spans="4:4">
      <c r="D261" t="str">
        <f t="shared" si="4"/>
        <v/>
      </c>
    </row>
    <row r="262" spans="4:4">
      <c r="D262" t="str">
        <f t="shared" si="4"/>
        <v/>
      </c>
    </row>
    <row r="263" spans="4:4">
      <c r="D263" t="str">
        <f t="shared" si="4"/>
        <v/>
      </c>
    </row>
    <row r="264" spans="4:4">
      <c r="D264" t="str">
        <f t="shared" si="4"/>
        <v/>
      </c>
    </row>
    <row r="265" spans="4:4">
      <c r="D265" t="str">
        <f t="shared" si="4"/>
        <v/>
      </c>
    </row>
    <row r="266" spans="4:4">
      <c r="D266" t="str">
        <f t="shared" si="4"/>
        <v/>
      </c>
    </row>
    <row r="267" spans="4:4">
      <c r="D267" t="str">
        <f t="shared" si="4"/>
        <v/>
      </c>
    </row>
    <row r="268" spans="4:4">
      <c r="D268" t="str">
        <f t="shared" si="4"/>
        <v/>
      </c>
    </row>
    <row r="269" spans="4:4">
      <c r="D269" t="str">
        <f t="shared" si="4"/>
        <v/>
      </c>
    </row>
    <row r="270" spans="4:4">
      <c r="D270" t="str">
        <f t="shared" si="4"/>
        <v/>
      </c>
    </row>
    <row r="271" spans="4:4">
      <c r="D271" t="str">
        <f t="shared" si="4"/>
        <v/>
      </c>
    </row>
    <row r="272" spans="4:4">
      <c r="D272" t="str">
        <f t="shared" si="4"/>
        <v/>
      </c>
    </row>
    <row r="273" spans="4:4">
      <c r="D273" t="str">
        <f t="shared" si="4"/>
        <v/>
      </c>
    </row>
    <row r="274" spans="4:4">
      <c r="D274" t="str">
        <f t="shared" si="4"/>
        <v/>
      </c>
    </row>
    <row r="275" spans="4:4">
      <c r="D275" t="str">
        <f t="shared" si="4"/>
        <v/>
      </c>
    </row>
    <row r="276" spans="4:4">
      <c r="D276" t="str">
        <f t="shared" si="4"/>
        <v/>
      </c>
    </row>
    <row r="277" spans="4:4">
      <c r="D277" t="str">
        <f t="shared" si="4"/>
        <v/>
      </c>
    </row>
    <row r="278" spans="4:4">
      <c r="D278" t="str">
        <f t="shared" si="4"/>
        <v/>
      </c>
    </row>
    <row r="279" spans="4:4">
      <c r="D279" t="str">
        <f t="shared" si="4"/>
        <v/>
      </c>
    </row>
    <row r="280" spans="4:4">
      <c r="D280" t="str">
        <f t="shared" si="4"/>
        <v/>
      </c>
    </row>
    <row r="281" spans="4:4">
      <c r="D281" t="str">
        <f t="shared" si="4"/>
        <v/>
      </c>
    </row>
    <row r="282" spans="4:4">
      <c r="D282" t="str">
        <f t="shared" si="4"/>
        <v/>
      </c>
    </row>
    <row r="283" spans="4:4">
      <c r="D283" t="str">
        <f t="shared" si="4"/>
        <v/>
      </c>
    </row>
    <row r="284" spans="4:4">
      <c r="D284" t="str">
        <f t="shared" si="4"/>
        <v/>
      </c>
    </row>
    <row r="285" spans="4:4">
      <c r="D285" t="str">
        <f t="shared" si="4"/>
        <v/>
      </c>
    </row>
    <row r="286" spans="4:4">
      <c r="D286" t="str">
        <f t="shared" si="4"/>
        <v/>
      </c>
    </row>
    <row r="287" spans="4:4">
      <c r="D287" t="str">
        <f t="shared" si="4"/>
        <v/>
      </c>
    </row>
    <row r="288" spans="4:4">
      <c r="D288" t="str">
        <f t="shared" si="4"/>
        <v/>
      </c>
    </row>
    <row r="289" spans="4:4">
      <c r="D289" t="str">
        <f t="shared" si="4"/>
        <v/>
      </c>
    </row>
    <row r="290" spans="4:4">
      <c r="D290" t="str">
        <f t="shared" si="4"/>
        <v/>
      </c>
    </row>
    <row r="291" spans="4:4">
      <c r="D291" t="str">
        <f t="shared" si="4"/>
        <v/>
      </c>
    </row>
    <row r="292" spans="4:4">
      <c r="D292" t="str">
        <f t="shared" si="4"/>
        <v/>
      </c>
    </row>
    <row r="293" spans="4:4">
      <c r="D293" t="str">
        <f t="shared" si="4"/>
        <v/>
      </c>
    </row>
    <row r="294" spans="4:4">
      <c r="D294" t="str">
        <f t="shared" si="4"/>
        <v/>
      </c>
    </row>
    <row r="295" spans="4:4">
      <c r="D295" t="str">
        <f t="shared" si="4"/>
        <v/>
      </c>
    </row>
    <row r="296" spans="4:4">
      <c r="D296" t="str">
        <f t="shared" si="4"/>
        <v/>
      </c>
    </row>
    <row r="297" spans="4:4">
      <c r="D297" t="str">
        <f t="shared" si="4"/>
        <v/>
      </c>
    </row>
    <row r="298" spans="4:4">
      <c r="D298" t="str">
        <f t="shared" si="4"/>
        <v/>
      </c>
    </row>
    <row r="299" spans="4:4">
      <c r="D299" t="str">
        <f t="shared" si="4"/>
        <v/>
      </c>
    </row>
    <row r="300" spans="4:4">
      <c r="D300" t="str">
        <f t="shared" si="4"/>
        <v/>
      </c>
    </row>
    <row r="301" spans="4:4">
      <c r="D301" t="str">
        <f t="shared" si="4"/>
        <v/>
      </c>
    </row>
    <row r="302" spans="4:4">
      <c r="D302" t="str">
        <f t="shared" si="4"/>
        <v/>
      </c>
    </row>
    <row r="303" spans="4:4">
      <c r="D303" t="str">
        <f t="shared" si="4"/>
        <v/>
      </c>
    </row>
    <row r="304" spans="4:4">
      <c r="D304" t="str">
        <f t="shared" si="4"/>
        <v/>
      </c>
    </row>
    <row r="305" spans="4:4">
      <c r="D305" t="str">
        <f t="shared" si="4"/>
        <v/>
      </c>
    </row>
    <row r="306" spans="4:4">
      <c r="D306" t="str">
        <f t="shared" si="4"/>
        <v/>
      </c>
    </row>
    <row r="307" spans="4:4">
      <c r="D307" t="str">
        <f t="shared" si="4"/>
        <v/>
      </c>
    </row>
    <row r="308" spans="4:4">
      <c r="D308" t="str">
        <f t="shared" si="4"/>
        <v/>
      </c>
    </row>
    <row r="309" spans="4:4">
      <c r="D309" t="str">
        <f t="shared" si="4"/>
        <v/>
      </c>
    </row>
    <row r="310" spans="4:4">
      <c r="D310" t="str">
        <f t="shared" si="4"/>
        <v/>
      </c>
    </row>
    <row r="311" spans="4:4">
      <c r="D311" t="str">
        <f t="shared" si="4"/>
        <v/>
      </c>
    </row>
    <row r="312" spans="4:4">
      <c r="D312" t="str">
        <f t="shared" si="4"/>
        <v/>
      </c>
    </row>
    <row r="313" spans="4:4">
      <c r="D313" t="str">
        <f t="shared" si="4"/>
        <v/>
      </c>
    </row>
    <row r="314" spans="4:4">
      <c r="D314" t="str">
        <f t="shared" si="4"/>
        <v/>
      </c>
    </row>
    <row r="315" spans="4:4">
      <c r="D315" t="str">
        <f t="shared" si="4"/>
        <v/>
      </c>
    </row>
    <row r="316" spans="4:4">
      <c r="D316" t="str">
        <f t="shared" si="4"/>
        <v/>
      </c>
    </row>
    <row r="317" spans="4:4">
      <c r="D317" t="str">
        <f t="shared" si="4"/>
        <v/>
      </c>
    </row>
    <row r="318" spans="4:4">
      <c r="D318" t="str">
        <f t="shared" si="4"/>
        <v/>
      </c>
    </row>
    <row r="319" spans="4:4">
      <c r="D319" t="str">
        <f t="shared" si="4"/>
        <v/>
      </c>
    </row>
    <row r="320" spans="4:4">
      <c r="D320" t="str">
        <f t="shared" si="4"/>
        <v/>
      </c>
    </row>
    <row r="321" spans="4:4">
      <c r="D321" t="str">
        <f t="shared" si="4"/>
        <v/>
      </c>
    </row>
    <row r="322" spans="4:4">
      <c r="D322" t="str">
        <f t="shared" ref="D322:D385" si="5">IFERROR(VLOOKUP(B322, GMP, 2, FALSE), "")</f>
        <v/>
      </c>
    </row>
    <row r="323" spans="4:4">
      <c r="D323" t="str">
        <f t="shared" si="5"/>
        <v/>
      </c>
    </row>
    <row r="324" spans="4:4">
      <c r="D324" t="str">
        <f t="shared" si="5"/>
        <v/>
      </c>
    </row>
    <row r="325" spans="4:4">
      <c r="D325" t="str">
        <f t="shared" si="5"/>
        <v/>
      </c>
    </row>
    <row r="326" spans="4:4">
      <c r="D326" t="str">
        <f t="shared" si="5"/>
        <v/>
      </c>
    </row>
    <row r="327" spans="4:4">
      <c r="D327" t="str">
        <f t="shared" si="5"/>
        <v/>
      </c>
    </row>
    <row r="328" spans="4:4">
      <c r="D328" t="str">
        <f t="shared" si="5"/>
        <v/>
      </c>
    </row>
    <row r="329" spans="4:4">
      <c r="D329" t="str">
        <f t="shared" si="5"/>
        <v/>
      </c>
    </row>
    <row r="330" spans="4:4">
      <c r="D330" t="str">
        <f t="shared" si="5"/>
        <v/>
      </c>
    </row>
    <row r="331" spans="4:4">
      <c r="D331" t="str">
        <f t="shared" si="5"/>
        <v/>
      </c>
    </row>
    <row r="332" spans="4:4">
      <c r="D332" t="str">
        <f t="shared" si="5"/>
        <v/>
      </c>
    </row>
    <row r="333" spans="4:4">
      <c r="D333" t="str">
        <f t="shared" si="5"/>
        <v/>
      </c>
    </row>
    <row r="334" spans="4:4">
      <c r="D334" t="str">
        <f t="shared" si="5"/>
        <v/>
      </c>
    </row>
    <row r="335" spans="4:4">
      <c r="D335" t="str">
        <f t="shared" si="5"/>
        <v/>
      </c>
    </row>
    <row r="336" spans="4:4">
      <c r="D336" t="str">
        <f t="shared" si="5"/>
        <v/>
      </c>
    </row>
    <row r="337" spans="4:4">
      <c r="D337" t="str">
        <f t="shared" si="5"/>
        <v/>
      </c>
    </row>
    <row r="338" spans="4:4">
      <c r="D338" t="str">
        <f t="shared" si="5"/>
        <v/>
      </c>
    </row>
    <row r="339" spans="4:4">
      <c r="D339" t="str">
        <f t="shared" si="5"/>
        <v/>
      </c>
    </row>
    <row r="340" spans="4:4">
      <c r="D340" t="str">
        <f t="shared" si="5"/>
        <v/>
      </c>
    </row>
    <row r="341" spans="4:4">
      <c r="D341" t="str">
        <f t="shared" si="5"/>
        <v/>
      </c>
    </row>
    <row r="342" spans="4:4">
      <c r="D342" t="str">
        <f t="shared" si="5"/>
        <v/>
      </c>
    </row>
    <row r="343" spans="4:4">
      <c r="D343" t="str">
        <f t="shared" si="5"/>
        <v/>
      </c>
    </row>
    <row r="344" spans="4:4">
      <c r="D344" t="str">
        <f t="shared" si="5"/>
        <v/>
      </c>
    </row>
    <row r="345" spans="4:4">
      <c r="D345" t="str">
        <f t="shared" si="5"/>
        <v/>
      </c>
    </row>
    <row r="346" spans="4:4">
      <c r="D346" t="str">
        <f t="shared" si="5"/>
        <v/>
      </c>
    </row>
    <row r="347" spans="4:4">
      <c r="D347" t="str">
        <f t="shared" si="5"/>
        <v/>
      </c>
    </row>
    <row r="348" spans="4:4">
      <c r="D348" t="str">
        <f t="shared" si="5"/>
        <v/>
      </c>
    </row>
    <row r="349" spans="4:4">
      <c r="D349" t="str">
        <f t="shared" si="5"/>
        <v/>
      </c>
    </row>
    <row r="350" spans="4:4">
      <c r="D350" t="str">
        <f t="shared" si="5"/>
        <v/>
      </c>
    </row>
    <row r="351" spans="4:4">
      <c r="D351" t="str">
        <f t="shared" si="5"/>
        <v/>
      </c>
    </row>
    <row r="352" spans="4:4">
      <c r="D352" t="str">
        <f t="shared" si="5"/>
        <v/>
      </c>
    </row>
    <row r="353" spans="4:4">
      <c r="D353" t="str">
        <f t="shared" si="5"/>
        <v/>
      </c>
    </row>
    <row r="354" spans="4:4">
      <c r="D354" t="str">
        <f t="shared" si="5"/>
        <v/>
      </c>
    </row>
    <row r="355" spans="4:4">
      <c r="D355" t="str">
        <f t="shared" si="5"/>
        <v/>
      </c>
    </row>
    <row r="356" spans="4:4">
      <c r="D356" t="str">
        <f t="shared" si="5"/>
        <v/>
      </c>
    </row>
    <row r="357" spans="4:4">
      <c r="D357" t="str">
        <f t="shared" si="5"/>
        <v/>
      </c>
    </row>
    <row r="358" spans="4:4">
      <c r="D358" t="str">
        <f t="shared" si="5"/>
        <v/>
      </c>
    </row>
    <row r="359" spans="4:4">
      <c r="D359" t="str">
        <f t="shared" si="5"/>
        <v/>
      </c>
    </row>
    <row r="360" spans="4:4">
      <c r="D360" t="str">
        <f t="shared" si="5"/>
        <v/>
      </c>
    </row>
    <row r="361" spans="4:4">
      <c r="D361" t="str">
        <f t="shared" si="5"/>
        <v/>
      </c>
    </row>
    <row r="362" spans="4:4">
      <c r="D362" t="str">
        <f t="shared" si="5"/>
        <v/>
      </c>
    </row>
    <row r="363" spans="4:4">
      <c r="D363" t="str">
        <f t="shared" si="5"/>
        <v/>
      </c>
    </row>
    <row r="364" spans="4:4">
      <c r="D364" t="str">
        <f t="shared" si="5"/>
        <v/>
      </c>
    </row>
    <row r="365" spans="4:4">
      <c r="D365" t="str">
        <f t="shared" si="5"/>
        <v/>
      </c>
    </row>
    <row r="366" spans="4:4">
      <c r="D366" t="str">
        <f t="shared" si="5"/>
        <v/>
      </c>
    </row>
    <row r="367" spans="4:4">
      <c r="D367" t="str">
        <f t="shared" si="5"/>
        <v/>
      </c>
    </row>
    <row r="368" spans="4:4">
      <c r="D368" t="str">
        <f t="shared" si="5"/>
        <v/>
      </c>
    </row>
    <row r="369" spans="4:4">
      <c r="D369" t="str">
        <f t="shared" si="5"/>
        <v/>
      </c>
    </row>
    <row r="370" spans="4:4">
      <c r="D370" t="str">
        <f t="shared" si="5"/>
        <v/>
      </c>
    </row>
    <row r="371" spans="4:4">
      <c r="D371" t="str">
        <f t="shared" si="5"/>
        <v/>
      </c>
    </row>
    <row r="372" spans="4:4">
      <c r="D372" t="str">
        <f t="shared" si="5"/>
        <v/>
      </c>
    </row>
    <row r="373" spans="4:4">
      <c r="D373" t="str">
        <f t="shared" si="5"/>
        <v/>
      </c>
    </row>
    <row r="374" spans="4:4">
      <c r="D374" t="str">
        <f t="shared" si="5"/>
        <v/>
      </c>
    </row>
    <row r="375" spans="4:4">
      <c r="D375" t="str">
        <f t="shared" si="5"/>
        <v/>
      </c>
    </row>
    <row r="376" spans="4:4">
      <c r="D376" t="str">
        <f t="shared" si="5"/>
        <v/>
      </c>
    </row>
    <row r="377" spans="4:4">
      <c r="D377" t="str">
        <f t="shared" si="5"/>
        <v/>
      </c>
    </row>
    <row r="378" spans="4:4">
      <c r="D378" t="str">
        <f t="shared" si="5"/>
        <v/>
      </c>
    </row>
    <row r="379" spans="4:4">
      <c r="D379" t="str">
        <f t="shared" si="5"/>
        <v/>
      </c>
    </row>
    <row r="380" spans="4:4">
      <c r="D380" t="str">
        <f t="shared" si="5"/>
        <v/>
      </c>
    </row>
    <row r="381" spans="4:4">
      <c r="D381" t="str">
        <f t="shared" si="5"/>
        <v/>
      </c>
    </row>
    <row r="382" spans="4:4">
      <c r="D382" t="str">
        <f t="shared" si="5"/>
        <v/>
      </c>
    </row>
    <row r="383" spans="4:4">
      <c r="D383" t="str">
        <f t="shared" si="5"/>
        <v/>
      </c>
    </row>
    <row r="384" spans="4:4">
      <c r="D384" t="str">
        <f t="shared" si="5"/>
        <v/>
      </c>
    </row>
    <row r="385" spans="4:4">
      <c r="D385" t="str">
        <f t="shared" si="5"/>
        <v/>
      </c>
    </row>
    <row r="386" spans="4:4">
      <c r="D386" t="str">
        <f t="shared" ref="D386:D449" si="6">IFERROR(VLOOKUP(B386, GMP, 2, FALSE), "")</f>
        <v/>
      </c>
    </row>
    <row r="387" spans="4:4">
      <c r="D387" t="str">
        <f t="shared" si="6"/>
        <v/>
      </c>
    </row>
    <row r="388" spans="4:4">
      <c r="D388" t="str">
        <f t="shared" si="6"/>
        <v/>
      </c>
    </row>
    <row r="389" spans="4:4">
      <c r="D389" t="str">
        <f t="shared" si="6"/>
        <v/>
      </c>
    </row>
    <row r="390" spans="4:4">
      <c r="D390" t="str">
        <f t="shared" si="6"/>
        <v/>
      </c>
    </row>
    <row r="391" spans="4:4">
      <c r="D391" t="str">
        <f t="shared" si="6"/>
        <v/>
      </c>
    </row>
    <row r="392" spans="4:4">
      <c r="D392" t="str">
        <f t="shared" si="6"/>
        <v/>
      </c>
    </row>
    <row r="393" spans="4:4">
      <c r="D393" t="str">
        <f t="shared" si="6"/>
        <v/>
      </c>
    </row>
    <row r="394" spans="4:4">
      <c r="D394" t="str">
        <f t="shared" si="6"/>
        <v/>
      </c>
    </row>
    <row r="395" spans="4:4">
      <c r="D395" t="str">
        <f t="shared" si="6"/>
        <v/>
      </c>
    </row>
    <row r="396" spans="4:4">
      <c r="D396" t="str">
        <f t="shared" si="6"/>
        <v/>
      </c>
    </row>
    <row r="397" spans="4:4">
      <c r="D397" t="str">
        <f t="shared" si="6"/>
        <v/>
      </c>
    </row>
    <row r="398" spans="4:4">
      <c r="D398" t="str">
        <f t="shared" si="6"/>
        <v/>
      </c>
    </row>
    <row r="399" spans="4:4">
      <c r="D399" t="str">
        <f t="shared" si="6"/>
        <v/>
      </c>
    </row>
    <row r="400" spans="4:4">
      <c r="D400" t="str">
        <f t="shared" si="6"/>
        <v/>
      </c>
    </row>
    <row r="401" spans="4:4">
      <c r="D401" t="str">
        <f t="shared" si="6"/>
        <v/>
      </c>
    </row>
    <row r="402" spans="4:4">
      <c r="D402" t="str">
        <f t="shared" si="6"/>
        <v/>
      </c>
    </row>
    <row r="403" spans="4:4">
      <c r="D403" t="str">
        <f t="shared" si="6"/>
        <v/>
      </c>
    </row>
    <row r="404" spans="4:4">
      <c r="D404" t="str">
        <f t="shared" si="6"/>
        <v/>
      </c>
    </row>
    <row r="405" spans="4:4">
      <c r="D405" t="str">
        <f t="shared" si="6"/>
        <v/>
      </c>
    </row>
    <row r="406" spans="4:4">
      <c r="D406" t="str">
        <f t="shared" si="6"/>
        <v/>
      </c>
    </row>
    <row r="407" spans="4:4">
      <c r="D407" t="str">
        <f t="shared" si="6"/>
        <v/>
      </c>
    </row>
    <row r="408" spans="4:4">
      <c r="D408" t="str">
        <f t="shared" si="6"/>
        <v/>
      </c>
    </row>
    <row r="409" spans="4:4">
      <c r="D409" t="str">
        <f t="shared" si="6"/>
        <v/>
      </c>
    </row>
    <row r="410" spans="4:4">
      <c r="D410" t="str">
        <f t="shared" si="6"/>
        <v/>
      </c>
    </row>
    <row r="411" spans="4:4">
      <c r="D411" t="str">
        <f t="shared" si="6"/>
        <v/>
      </c>
    </row>
    <row r="412" spans="4:4">
      <c r="D412" t="str">
        <f t="shared" si="6"/>
        <v/>
      </c>
    </row>
    <row r="413" spans="4:4">
      <c r="D413" t="str">
        <f t="shared" si="6"/>
        <v/>
      </c>
    </row>
    <row r="414" spans="4:4">
      <c r="D414" t="str">
        <f t="shared" si="6"/>
        <v/>
      </c>
    </row>
    <row r="415" spans="4:4">
      <c r="D415" t="str">
        <f t="shared" si="6"/>
        <v/>
      </c>
    </row>
    <row r="416" spans="4:4">
      <c r="D416" t="str">
        <f t="shared" si="6"/>
        <v/>
      </c>
    </row>
    <row r="417" spans="4:4">
      <c r="D417" t="str">
        <f t="shared" si="6"/>
        <v/>
      </c>
    </row>
    <row r="418" spans="4:4">
      <c r="D418" t="str">
        <f t="shared" si="6"/>
        <v/>
      </c>
    </row>
    <row r="419" spans="4:4">
      <c r="D419" t="str">
        <f t="shared" si="6"/>
        <v/>
      </c>
    </row>
    <row r="420" spans="4:4">
      <c r="D420" t="str">
        <f t="shared" si="6"/>
        <v/>
      </c>
    </row>
    <row r="421" spans="4:4">
      <c r="D421" t="str">
        <f t="shared" si="6"/>
        <v/>
      </c>
    </row>
    <row r="422" spans="4:4">
      <c r="D422" t="str">
        <f t="shared" si="6"/>
        <v/>
      </c>
    </row>
    <row r="423" spans="4:4">
      <c r="D423" t="str">
        <f t="shared" si="6"/>
        <v/>
      </c>
    </row>
    <row r="424" spans="4:4">
      <c r="D424" t="str">
        <f t="shared" si="6"/>
        <v/>
      </c>
    </row>
    <row r="425" spans="4:4">
      <c r="D425" t="str">
        <f t="shared" si="6"/>
        <v/>
      </c>
    </row>
    <row r="426" spans="4:4">
      <c r="D426" t="str">
        <f t="shared" si="6"/>
        <v/>
      </c>
    </row>
    <row r="427" spans="4:4">
      <c r="D427" t="str">
        <f t="shared" si="6"/>
        <v/>
      </c>
    </row>
    <row r="428" spans="4:4">
      <c r="D428" t="str">
        <f t="shared" si="6"/>
        <v/>
      </c>
    </row>
    <row r="429" spans="4:4">
      <c r="D429" t="str">
        <f t="shared" si="6"/>
        <v/>
      </c>
    </row>
    <row r="430" spans="4:4">
      <c r="D430" t="str">
        <f t="shared" si="6"/>
        <v/>
      </c>
    </row>
    <row r="431" spans="4:4">
      <c r="D431" t="str">
        <f t="shared" si="6"/>
        <v/>
      </c>
    </row>
    <row r="432" spans="4:4">
      <c r="D432" t="str">
        <f t="shared" si="6"/>
        <v/>
      </c>
    </row>
    <row r="433" spans="4:4">
      <c r="D433" t="str">
        <f t="shared" si="6"/>
        <v/>
      </c>
    </row>
    <row r="434" spans="4:4">
      <c r="D434" t="str">
        <f t="shared" si="6"/>
        <v/>
      </c>
    </row>
    <row r="435" spans="4:4">
      <c r="D435" t="str">
        <f t="shared" si="6"/>
        <v/>
      </c>
    </row>
    <row r="436" spans="4:4">
      <c r="D436" t="str">
        <f t="shared" si="6"/>
        <v/>
      </c>
    </row>
    <row r="437" spans="4:4">
      <c r="D437" t="str">
        <f t="shared" si="6"/>
        <v/>
      </c>
    </row>
    <row r="438" spans="4:4">
      <c r="D438" t="str">
        <f t="shared" si="6"/>
        <v/>
      </c>
    </row>
    <row r="439" spans="4:4">
      <c r="D439" t="str">
        <f t="shared" si="6"/>
        <v/>
      </c>
    </row>
    <row r="440" spans="4:4">
      <c r="D440" t="str">
        <f t="shared" si="6"/>
        <v/>
      </c>
    </row>
    <row r="441" spans="4:4">
      <c r="D441" t="str">
        <f t="shared" si="6"/>
        <v/>
      </c>
    </row>
    <row r="442" spans="4:4">
      <c r="D442" t="str">
        <f t="shared" si="6"/>
        <v/>
      </c>
    </row>
    <row r="443" spans="4:4">
      <c r="D443" t="str">
        <f t="shared" si="6"/>
        <v/>
      </c>
    </row>
    <row r="444" spans="4:4">
      <c r="D444" t="str">
        <f t="shared" si="6"/>
        <v/>
      </c>
    </row>
    <row r="445" spans="4:4">
      <c r="D445" t="str">
        <f t="shared" si="6"/>
        <v/>
      </c>
    </row>
    <row r="446" spans="4:4">
      <c r="D446" t="str">
        <f t="shared" si="6"/>
        <v/>
      </c>
    </row>
    <row r="447" spans="4:4">
      <c r="D447" t="str">
        <f t="shared" si="6"/>
        <v/>
      </c>
    </row>
    <row r="448" spans="4:4">
      <c r="D448" t="str">
        <f t="shared" si="6"/>
        <v/>
      </c>
    </row>
    <row r="449" spans="4:4">
      <c r="D449" t="str">
        <f t="shared" si="6"/>
        <v/>
      </c>
    </row>
    <row r="450" spans="4:4">
      <c r="D450" t="str">
        <f t="shared" ref="D450:D500" si="7">IFERROR(VLOOKUP(B450, GMP, 2, FALSE), "")</f>
        <v/>
      </c>
    </row>
    <row r="451" spans="4:4">
      <c r="D451" t="str">
        <f t="shared" si="7"/>
        <v/>
      </c>
    </row>
    <row r="452" spans="4:4">
      <c r="D452" t="str">
        <f t="shared" si="7"/>
        <v/>
      </c>
    </row>
    <row r="453" spans="4:4">
      <c r="D453" t="str">
        <f t="shared" si="7"/>
        <v/>
      </c>
    </row>
    <row r="454" spans="4:4">
      <c r="D454" t="str">
        <f t="shared" si="7"/>
        <v/>
      </c>
    </row>
    <row r="455" spans="4:4">
      <c r="D455" t="str">
        <f t="shared" si="7"/>
        <v/>
      </c>
    </row>
    <row r="456" spans="4:4">
      <c r="D456" t="str">
        <f t="shared" si="7"/>
        <v/>
      </c>
    </row>
    <row r="457" spans="4:4">
      <c r="D457" t="str">
        <f t="shared" si="7"/>
        <v/>
      </c>
    </row>
    <row r="458" spans="4:4">
      <c r="D458" t="str">
        <f t="shared" si="7"/>
        <v/>
      </c>
    </row>
    <row r="459" spans="4:4">
      <c r="D459" t="str">
        <f t="shared" si="7"/>
        <v/>
      </c>
    </row>
    <row r="460" spans="4:4">
      <c r="D460" t="str">
        <f t="shared" si="7"/>
        <v/>
      </c>
    </row>
    <row r="461" spans="4:4">
      <c r="D461" t="str">
        <f t="shared" si="7"/>
        <v/>
      </c>
    </row>
    <row r="462" spans="4:4">
      <c r="D462" t="str">
        <f t="shared" si="7"/>
        <v/>
      </c>
    </row>
    <row r="463" spans="4:4">
      <c r="D463" t="str">
        <f t="shared" si="7"/>
        <v/>
      </c>
    </row>
    <row r="464" spans="4:4">
      <c r="D464" t="str">
        <f t="shared" si="7"/>
        <v/>
      </c>
    </row>
    <row r="465" spans="4:4">
      <c r="D465" t="str">
        <f t="shared" si="7"/>
        <v/>
      </c>
    </row>
    <row r="466" spans="4:4">
      <c r="D466" t="str">
        <f t="shared" si="7"/>
        <v/>
      </c>
    </row>
    <row r="467" spans="4:4">
      <c r="D467" t="str">
        <f t="shared" si="7"/>
        <v/>
      </c>
    </row>
    <row r="468" spans="4:4">
      <c r="D468" t="str">
        <f t="shared" si="7"/>
        <v/>
      </c>
    </row>
    <row r="469" spans="4:4">
      <c r="D469" t="str">
        <f t="shared" si="7"/>
        <v/>
      </c>
    </row>
    <row r="470" spans="4:4">
      <c r="D470" t="str">
        <f t="shared" si="7"/>
        <v/>
      </c>
    </row>
    <row r="471" spans="4:4">
      <c r="D471" t="str">
        <f t="shared" si="7"/>
        <v/>
      </c>
    </row>
    <row r="472" spans="4:4">
      <c r="D472" t="str">
        <f t="shared" si="7"/>
        <v/>
      </c>
    </row>
    <row r="473" spans="4:4">
      <c r="D473" t="str">
        <f t="shared" si="7"/>
        <v/>
      </c>
    </row>
    <row r="474" spans="4:4">
      <c r="D474" t="str">
        <f t="shared" si="7"/>
        <v/>
      </c>
    </row>
    <row r="475" spans="4:4">
      <c r="D475" t="str">
        <f t="shared" si="7"/>
        <v/>
      </c>
    </row>
    <row r="476" spans="4:4">
      <c r="D476" t="str">
        <f t="shared" si="7"/>
        <v/>
      </c>
    </row>
    <row r="477" spans="4:4">
      <c r="D477" t="str">
        <f t="shared" si="7"/>
        <v/>
      </c>
    </row>
    <row r="478" spans="4:4">
      <c r="D478" t="str">
        <f t="shared" si="7"/>
        <v/>
      </c>
    </row>
    <row r="479" spans="4:4">
      <c r="D479" t="str">
        <f t="shared" si="7"/>
        <v/>
      </c>
    </row>
    <row r="480" spans="4:4">
      <c r="D480" t="str">
        <f t="shared" si="7"/>
        <v/>
      </c>
    </row>
    <row r="481" spans="4:4">
      <c r="D481" t="str">
        <f t="shared" si="7"/>
        <v/>
      </c>
    </row>
    <row r="482" spans="4:4">
      <c r="D482" t="str">
        <f t="shared" si="7"/>
        <v/>
      </c>
    </row>
    <row r="483" spans="4:4">
      <c r="D483" t="str">
        <f t="shared" si="7"/>
        <v/>
      </c>
    </row>
    <row r="484" spans="4:4">
      <c r="D484" t="str">
        <f t="shared" si="7"/>
        <v/>
      </c>
    </row>
    <row r="485" spans="4:4">
      <c r="D485" t="str">
        <f t="shared" si="7"/>
        <v/>
      </c>
    </row>
    <row r="486" spans="4:4">
      <c r="D486" t="str">
        <f t="shared" si="7"/>
        <v/>
      </c>
    </row>
    <row r="487" spans="4:4">
      <c r="D487" t="str">
        <f t="shared" si="7"/>
        <v/>
      </c>
    </row>
    <row r="488" spans="4:4">
      <c r="D488" t="str">
        <f t="shared" si="7"/>
        <v/>
      </c>
    </row>
    <row r="489" spans="4:4">
      <c r="D489" t="str">
        <f t="shared" si="7"/>
        <v/>
      </c>
    </row>
    <row r="490" spans="4:4">
      <c r="D490" t="str">
        <f t="shared" si="7"/>
        <v/>
      </c>
    </row>
    <row r="491" spans="4:4">
      <c r="D491" t="str">
        <f t="shared" si="7"/>
        <v/>
      </c>
    </row>
    <row r="492" spans="4:4">
      <c r="D492" t="str">
        <f t="shared" si="7"/>
        <v/>
      </c>
    </row>
    <row r="493" spans="4:4">
      <c r="D493" t="str">
        <f t="shared" si="7"/>
        <v/>
      </c>
    </row>
    <row r="494" spans="4:4">
      <c r="D494" t="str">
        <f t="shared" si="7"/>
        <v/>
      </c>
    </row>
    <row r="495" spans="4:4">
      <c r="D495" t="str">
        <f t="shared" si="7"/>
        <v/>
      </c>
    </row>
    <row r="496" spans="4:4">
      <c r="D496" t="str">
        <f t="shared" si="7"/>
        <v/>
      </c>
    </row>
    <row r="497" spans="4:4">
      <c r="D497" t="str">
        <f t="shared" si="7"/>
        <v/>
      </c>
    </row>
    <row r="498" spans="4:4">
      <c r="D498" t="str">
        <f t="shared" si="7"/>
        <v/>
      </c>
    </row>
    <row r="499" spans="4:4">
      <c r="D499" t="str">
        <f t="shared" si="7"/>
        <v/>
      </c>
    </row>
    <row r="500" spans="4:4">
      <c r="D500" t="str">
        <f t="shared" si="7"/>
        <v/>
      </c>
    </row>
  </sheetData>
  <dataValidations count="2">
    <dataValidation type="list" allowBlank="1" showInputMessage="1" showErrorMessage="1" sqref="B1:B1048576" xr:uid="{662CF628-BB3C-4831-8A9A-C745913EE19F}">
      <formula1>"R-32, R-134a, R-22, R-404A, R-410A"</formula1>
    </dataValidation>
    <dataValidation type="list" showDropDown="1" showInputMessage="1" showErrorMessage="1" sqref="D2:D500" xr:uid="{D86FBD90-321C-43E8-A014-15CA7C7B320D}">
      <formula1>"  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38CC-F750-4693-BEBB-CF25FFAB42EB}">
  <dimension ref="A1:I500"/>
  <sheetViews>
    <sheetView workbookViewId="0">
      <selection activeCell="A4" sqref="A4"/>
    </sheetView>
  </sheetViews>
  <sheetFormatPr defaultRowHeight="14.25"/>
  <cols>
    <col min="1" max="1" width="32.375" customWidth="1"/>
    <col min="2" max="2" width="16.75" customWidth="1"/>
    <col min="3" max="3" width="14.75" customWidth="1"/>
    <col min="4" max="4" width="15" customWidth="1"/>
    <col min="7" max="7" width="20" customWidth="1"/>
    <col min="8" max="8" width="13.75" customWidth="1"/>
    <col min="9" max="9" width="15.5" customWidth="1"/>
  </cols>
  <sheetData>
    <row r="1" spans="1:9">
      <c r="A1" t="s">
        <v>17</v>
      </c>
      <c r="B1" t="s">
        <v>18</v>
      </c>
      <c r="C1" t="s">
        <v>8</v>
      </c>
      <c r="D1" t="s">
        <v>19</v>
      </c>
    </row>
    <row r="2" spans="1:9">
      <c r="B2" t="str">
        <f>IFERROR(VLOOKUP(A2, M_S3, 2, FALSE), "")</f>
        <v/>
      </c>
      <c r="D2" t="str">
        <f>IFERROR(VLOOKUP(A2, M_S3, 3, FALSE), "")</f>
        <v/>
      </c>
    </row>
    <row r="3" spans="1:9">
      <c r="B3" t="str">
        <f>IFERROR(VLOOKUP(A3, M_S3, 2, FALSE), "")</f>
        <v/>
      </c>
      <c r="D3" t="str">
        <f>IFERROR(VLOOKUP(A3, M_S3, 3, FALSE), "")</f>
        <v/>
      </c>
    </row>
    <row r="4" spans="1:9">
      <c r="B4" t="str">
        <f>IFERROR(VLOOKUP(A4, M_S3, 2, FALSE), "")</f>
        <v/>
      </c>
      <c r="D4" t="str">
        <f>IFERROR(VLOOKUP(A4, M_S3, 3, FALSE), "")</f>
        <v/>
      </c>
    </row>
    <row r="5" spans="1:9">
      <c r="B5" t="str">
        <f>IFERROR(VLOOKUP(A5, M_S3, 2, FALSE), "")</f>
        <v/>
      </c>
      <c r="D5" t="str">
        <f>IFERROR(VLOOKUP(A5, M_S3, 3, FALSE), "")</f>
        <v/>
      </c>
    </row>
    <row r="6" spans="1:9">
      <c r="B6" t="str">
        <f>IFERROR(VLOOKUP(A6, M_S3, 2, FALSE), "")</f>
        <v/>
      </c>
      <c r="D6" t="str">
        <f>IFERROR(VLOOKUP(A6, M_S3, 3, FALSE), "")</f>
        <v/>
      </c>
    </row>
    <row r="7" spans="1:9">
      <c r="B7" t="str">
        <f>IFERROR(VLOOKUP(A7, M_S3, 2, FALSE), "")</f>
        <v/>
      </c>
      <c r="D7" t="str">
        <f>IFERROR(VLOOKUP(A7, M_S3, 3, FALSE), "")</f>
        <v/>
      </c>
    </row>
    <row r="8" spans="1:9">
      <c r="B8" t="str">
        <f>IFERROR(VLOOKUP(A8, M_S3, 2, FALSE), "")</f>
        <v/>
      </c>
      <c r="D8" t="str">
        <f>IFERROR(VLOOKUP(A8, M_S3, 3, FALSE), "")</f>
        <v/>
      </c>
      <c r="I8" t="str">
        <f>IF('Production &amp; Circular'!B6=0, "", 'Production &amp; Circular'!B6 * (1 - 'Production &amp; Circular'!D6))</f>
        <v/>
      </c>
    </row>
    <row r="9" spans="1:9">
      <c r="B9" t="str">
        <f>IFERROR(VLOOKUP(A9, M_S3, 2, FALSE), "")</f>
        <v/>
      </c>
      <c r="D9" t="str">
        <f>IFERROR(VLOOKUP(A9, M_S3, 3, FALSE), "")</f>
        <v/>
      </c>
      <c r="I9" t="str">
        <f>IF('Production &amp; Circular'!B7=0, "", 'Production &amp; Circular'!B7 * (1 - 'Production &amp; Circular'!D7))</f>
        <v/>
      </c>
    </row>
    <row r="10" spans="1:9">
      <c r="B10" t="str">
        <f>IFERROR(VLOOKUP(A10, M_S3, 2, FALSE), "")</f>
        <v/>
      </c>
      <c r="D10" t="str">
        <f>IFERROR(VLOOKUP(A10, M_S3, 3, FALSE), "")</f>
        <v/>
      </c>
      <c r="I10" t="str">
        <f>IF('Production &amp; Circular'!B8=0, "", 'Production &amp; Circular'!B8 * (1 - 'Production &amp; Circular'!D8))</f>
        <v/>
      </c>
    </row>
    <row r="11" spans="1:9">
      <c r="B11" t="str">
        <f>IFERROR(VLOOKUP(A11, M_S3, 2, FALSE), "")</f>
        <v/>
      </c>
      <c r="D11" t="str">
        <f>IFERROR(VLOOKUP(A11, M_S3, 3, FALSE), "")</f>
        <v/>
      </c>
      <c r="I11" t="str">
        <f>IF('Production &amp; Circular'!B9=0, "", 'Production &amp; Circular'!B9 * (1 - 'Production &amp; Circular'!D9))</f>
        <v/>
      </c>
    </row>
    <row r="12" spans="1:9">
      <c r="B12" t="str">
        <f>IFERROR(VLOOKUP(A12, M_S3, 2, FALSE), "")</f>
        <v/>
      </c>
      <c r="D12" t="str">
        <f>IFERROR(VLOOKUP(A12, M_S3, 3, FALSE), "")</f>
        <v/>
      </c>
      <c r="I12" t="str">
        <f>IF('Production &amp; Circular'!B10=0, "", 'Production &amp; Circular'!B10 * (1 - 'Production &amp; Circular'!D10))</f>
        <v/>
      </c>
    </row>
    <row r="13" spans="1:9">
      <c r="B13" t="str">
        <f>IFERROR(VLOOKUP(A13, M_S3, 2, FALSE), "")</f>
        <v/>
      </c>
      <c r="D13" t="str">
        <f>IFERROR(VLOOKUP(A13, M_S3, 3, FALSE), "")</f>
        <v/>
      </c>
      <c r="I13" t="str">
        <f>IF('Production &amp; Circular'!B11=0, "", 'Production &amp; Circular'!B11 * (1 - 'Production &amp; Circular'!D11))</f>
        <v/>
      </c>
    </row>
    <row r="14" spans="1:9">
      <c r="B14" t="str">
        <f>IFERROR(VLOOKUP(A14, M_S3, 2, FALSE), "")</f>
        <v/>
      </c>
      <c r="D14" t="str">
        <f>IFERROR(VLOOKUP(A14, M_S3, 3, FALSE), "")</f>
        <v/>
      </c>
      <c r="I14" t="str">
        <f>IF('Production &amp; Circular'!B12=0, "", 'Production &amp; Circular'!B12 * (1 - 'Production &amp; Circular'!D12))</f>
        <v/>
      </c>
    </row>
    <row r="15" spans="1:9">
      <c r="B15" t="str">
        <f>IFERROR(VLOOKUP(A15, M_S3, 2, FALSE), "")</f>
        <v/>
      </c>
      <c r="D15" t="str">
        <f>IFERROR(VLOOKUP(A15, M_S3, 3, FALSE), "")</f>
        <v/>
      </c>
      <c r="I15" t="str">
        <f>IF('Production &amp; Circular'!B13=0, "", 'Production &amp; Circular'!B13 * (1 - 'Production &amp; Circular'!D13))</f>
        <v/>
      </c>
    </row>
    <row r="16" spans="1:9">
      <c r="B16" t="str">
        <f>IFERROR(VLOOKUP(A16, M_S3, 2, FALSE), "")</f>
        <v/>
      </c>
      <c r="D16" t="str">
        <f>IFERROR(VLOOKUP(A16, M_S3, 3, FALSE), "")</f>
        <v/>
      </c>
      <c r="I16" t="str">
        <f>IF('Production &amp; Circular'!B14=0, "", 'Production &amp; Circular'!B14 * (1 - 'Production &amp; Circular'!D14))</f>
        <v/>
      </c>
    </row>
    <row r="17" spans="2:9">
      <c r="B17" t="str">
        <f>IFERROR(VLOOKUP(A17, M_S3, 2, FALSE), "")</f>
        <v/>
      </c>
      <c r="D17" t="str">
        <f>IFERROR(VLOOKUP(A17, M_S3, 3, FALSE), "")</f>
        <v/>
      </c>
      <c r="I17" t="str">
        <f>IF('Production &amp; Circular'!B15=0, "", 'Production &amp; Circular'!B15 * (1 - 'Production &amp; Circular'!D15))</f>
        <v/>
      </c>
    </row>
    <row r="18" spans="2:9">
      <c r="B18" t="str">
        <f>IFERROR(VLOOKUP(A18, M_S3, 2, FALSE), "")</f>
        <v/>
      </c>
      <c r="D18" t="str">
        <f>IFERROR(VLOOKUP(A18, M_S3, 3, FALSE), "")</f>
        <v/>
      </c>
      <c r="I18" t="str">
        <f>IF('Production &amp; Circular'!B16=0, "", 'Production &amp; Circular'!B16 * (1 - 'Production &amp; Circular'!D16))</f>
        <v/>
      </c>
    </row>
    <row r="19" spans="2:9">
      <c r="B19" t="str">
        <f>IFERROR(VLOOKUP(A19, M_S3, 2, FALSE), "")</f>
        <v/>
      </c>
      <c r="D19" t="str">
        <f>IFERROR(VLOOKUP(A19, M_S3, 3, FALSE), "")</f>
        <v/>
      </c>
      <c r="I19" t="str">
        <f>IF('Production &amp; Circular'!B17=0, "", 'Production &amp; Circular'!B17 * (1 - 'Production &amp; Circular'!D17))</f>
        <v/>
      </c>
    </row>
    <row r="20" spans="2:9">
      <c r="B20" t="str">
        <f>IFERROR(VLOOKUP(A20, M_S3, 2, FALSE), "")</f>
        <v/>
      </c>
      <c r="D20" t="str">
        <f>IFERROR(VLOOKUP(A20, M_S3, 3, FALSE), "")</f>
        <v/>
      </c>
      <c r="I20" t="str">
        <f>IF('Production &amp; Circular'!B18=0, "", 'Production &amp; Circular'!B18 * (1 - 'Production &amp; Circular'!D18))</f>
        <v/>
      </c>
    </row>
    <row r="21" spans="2:9">
      <c r="B21" t="str">
        <f>IFERROR(VLOOKUP(A21, M_S3, 2, FALSE), "")</f>
        <v/>
      </c>
      <c r="D21" t="str">
        <f>IFERROR(VLOOKUP(A21, M_S3, 3, FALSE), "")</f>
        <v/>
      </c>
      <c r="I21" t="str">
        <f>IF('Production &amp; Circular'!B19=0, "", 'Production &amp; Circular'!B19 * (1 - 'Production &amp; Circular'!D19))</f>
        <v/>
      </c>
    </row>
    <row r="22" spans="2:9">
      <c r="B22" t="str">
        <f>IFERROR(VLOOKUP(A22, M_S3, 2, FALSE), "")</f>
        <v/>
      </c>
      <c r="D22" t="str">
        <f>IFERROR(VLOOKUP(A22, M_S3, 3, FALSE), "")</f>
        <v/>
      </c>
      <c r="I22" t="str">
        <f>IF('Production &amp; Circular'!B20=0, "", 'Production &amp; Circular'!B20 * (1 - 'Production &amp; Circular'!D20))</f>
        <v/>
      </c>
    </row>
    <row r="23" spans="2:9">
      <c r="B23" t="str">
        <f>IFERROR(VLOOKUP(A23, M_S3, 2, FALSE), "")</f>
        <v/>
      </c>
      <c r="D23" t="str">
        <f>IFERROR(VLOOKUP(A23, M_S3, 3, FALSE), "")</f>
        <v/>
      </c>
      <c r="I23" t="str">
        <f>IF('Production &amp; Circular'!B21=0, "", 'Production &amp; Circular'!B21 * (1 - 'Production &amp; Circular'!D21))</f>
        <v/>
      </c>
    </row>
    <row r="24" spans="2:9">
      <c r="B24" t="str">
        <f>IFERROR(VLOOKUP(A24, M_S3, 2, FALSE), "")</f>
        <v/>
      </c>
      <c r="D24" t="str">
        <f>IFERROR(VLOOKUP(A24, M_S3, 3, FALSE), "")</f>
        <v/>
      </c>
      <c r="I24" t="str">
        <f>IF('Production &amp; Circular'!B22=0, "", 'Production &amp; Circular'!B22 * (1 - 'Production &amp; Circular'!D22))</f>
        <v/>
      </c>
    </row>
    <row r="25" spans="2:9">
      <c r="B25" t="str">
        <f>IFERROR(VLOOKUP(A25, M_S3, 2, FALSE), "")</f>
        <v/>
      </c>
      <c r="D25" t="str">
        <f>IFERROR(VLOOKUP(A25, M_S3, 3, FALSE), "")</f>
        <v/>
      </c>
      <c r="I25" t="str">
        <f>IF('Production &amp; Circular'!B23=0, "", 'Production &amp; Circular'!B23 * (1 - 'Production &amp; Circular'!D23))</f>
        <v/>
      </c>
    </row>
    <row r="26" spans="2:9">
      <c r="B26" t="str">
        <f>IFERROR(VLOOKUP(A26, M_S3, 2, FALSE), "")</f>
        <v/>
      </c>
      <c r="D26" t="str">
        <f>IFERROR(VLOOKUP(A26, M_S3, 3, FALSE), "")</f>
        <v/>
      </c>
      <c r="I26" t="str">
        <f>IF('Production &amp; Circular'!B24=0, "", 'Production &amp; Circular'!B24 * (1 - 'Production &amp; Circular'!D24))</f>
        <v/>
      </c>
    </row>
    <row r="27" spans="2:9">
      <c r="B27" t="str">
        <f>IFERROR(VLOOKUP(A27, M_S3, 2, FALSE), "")</f>
        <v/>
      </c>
      <c r="D27" t="str">
        <f>IFERROR(VLOOKUP(A27, M_S3, 3, FALSE), "")</f>
        <v/>
      </c>
      <c r="I27" t="str">
        <f>IF('Production &amp; Circular'!B25=0, "", 'Production &amp; Circular'!B25 * (1 - 'Production &amp; Circular'!D25))</f>
        <v/>
      </c>
    </row>
    <row r="28" spans="2:9">
      <c r="B28" t="str">
        <f>IFERROR(VLOOKUP(A28, M_S3, 2, FALSE), "")</f>
        <v/>
      </c>
      <c r="D28" t="str">
        <f>IFERROR(VLOOKUP(A28, M_S3, 3, FALSE), "")</f>
        <v/>
      </c>
      <c r="I28" t="str">
        <f>IF('Production &amp; Circular'!B26=0, "", 'Production &amp; Circular'!B26 * (1 - 'Production &amp; Circular'!D26))</f>
        <v/>
      </c>
    </row>
    <row r="29" spans="2:9">
      <c r="B29" t="str">
        <f>IFERROR(VLOOKUP(A29, M_S3, 2, FALSE), "")</f>
        <v/>
      </c>
      <c r="D29" t="str">
        <f>IFERROR(VLOOKUP(A29, M_S3, 3, FALSE), "")</f>
        <v/>
      </c>
      <c r="I29" t="str">
        <f>IF('Production &amp; Circular'!B27=0, "", 'Production &amp; Circular'!B27 * (1 - 'Production &amp; Circular'!D27))</f>
        <v/>
      </c>
    </row>
    <row r="30" spans="2:9">
      <c r="B30" t="str">
        <f>IFERROR(VLOOKUP(A30, M_S3, 2, FALSE), "")</f>
        <v/>
      </c>
      <c r="D30" t="str">
        <f>IFERROR(VLOOKUP(A30, M_S3, 3, FALSE), "")</f>
        <v/>
      </c>
      <c r="I30" t="str">
        <f>IF('Production &amp; Circular'!B28=0, "", 'Production &amp; Circular'!B28 * (1 - 'Production &amp; Circular'!D28))</f>
        <v/>
      </c>
    </row>
    <row r="31" spans="2:9">
      <c r="B31" t="str">
        <f>IFERROR(VLOOKUP(A31, M_S3, 2, FALSE), "")</f>
        <v/>
      </c>
      <c r="D31" t="str">
        <f>IFERROR(VLOOKUP(A31, M_S3, 3, FALSE), "")</f>
        <v/>
      </c>
      <c r="I31" t="str">
        <f>IF('Production &amp; Circular'!B29=0, "", 'Production &amp; Circular'!B29 * (1 - 'Production &amp; Circular'!D29))</f>
        <v/>
      </c>
    </row>
    <row r="32" spans="2:9">
      <c r="B32" t="str">
        <f>IFERROR(VLOOKUP(A32, M_S3, 2, FALSE), "")</f>
        <v/>
      </c>
      <c r="D32" t="str">
        <f>IFERROR(VLOOKUP(A32, M_S3, 3, FALSE), "")</f>
        <v/>
      </c>
      <c r="I32" t="str">
        <f>IF('Production &amp; Circular'!B30=0, "", 'Production &amp; Circular'!B30 * (1 - 'Production &amp; Circular'!D30))</f>
        <v/>
      </c>
    </row>
    <row r="33" spans="2:9">
      <c r="B33" t="str">
        <f>IFERROR(VLOOKUP(A33, M_S3, 2, FALSE), "")</f>
        <v/>
      </c>
      <c r="D33" t="str">
        <f>IFERROR(VLOOKUP(A33, M_S3, 3, FALSE), "")</f>
        <v/>
      </c>
      <c r="I33" t="str">
        <f>IF('Production &amp; Circular'!B31=0, "", 'Production &amp; Circular'!B31 * (1 - 'Production &amp; Circular'!D31))</f>
        <v/>
      </c>
    </row>
    <row r="34" spans="2:9">
      <c r="B34" t="str">
        <f>IFERROR(VLOOKUP(A34, M_S3, 2, FALSE), "")</f>
        <v/>
      </c>
      <c r="D34" t="str">
        <f>IFERROR(VLOOKUP(A34, M_S3, 3, FALSE), "")</f>
        <v/>
      </c>
      <c r="I34" t="str">
        <f>IF('Production &amp; Circular'!B32=0, "", 'Production &amp; Circular'!B32 * (1 - 'Production &amp; Circular'!D32))</f>
        <v/>
      </c>
    </row>
    <row r="35" spans="2:9">
      <c r="B35" t="str">
        <f>IFERROR(VLOOKUP(A35, M_S3, 2, FALSE), "")</f>
        <v/>
      </c>
      <c r="D35" t="str">
        <f>IFERROR(VLOOKUP(A35, M_S3, 3, FALSE), "")</f>
        <v/>
      </c>
      <c r="I35" t="str">
        <f>IF('Production &amp; Circular'!B33=0, "", 'Production &amp; Circular'!B33 * (1 - 'Production &amp; Circular'!D33))</f>
        <v/>
      </c>
    </row>
    <row r="36" spans="2:9">
      <c r="B36" t="str">
        <f>IFERROR(VLOOKUP(A36, M_S3, 2, FALSE), "")</f>
        <v/>
      </c>
      <c r="D36" t="str">
        <f>IFERROR(VLOOKUP(A36, M_S3, 3, FALSE), "")</f>
        <v/>
      </c>
      <c r="I36" t="str">
        <f>IF('Production &amp; Circular'!B34=0, "", 'Production &amp; Circular'!B34 * (1 - 'Production &amp; Circular'!D34))</f>
        <v/>
      </c>
    </row>
    <row r="37" spans="2:9">
      <c r="B37" t="str">
        <f>IFERROR(VLOOKUP(A37, M_S3, 2, FALSE), "")</f>
        <v/>
      </c>
      <c r="D37" t="str">
        <f>IFERROR(VLOOKUP(A37, M_S3, 3, FALSE), "")</f>
        <v/>
      </c>
      <c r="I37" t="str">
        <f>IF('Production &amp; Circular'!B35=0, "", 'Production &amp; Circular'!B35 * (1 - 'Production &amp; Circular'!D35))</f>
        <v/>
      </c>
    </row>
    <row r="38" spans="2:9">
      <c r="B38" t="str">
        <f>IFERROR(VLOOKUP(A38, M_S3, 2, FALSE), "")</f>
        <v/>
      </c>
      <c r="D38" t="str">
        <f>IFERROR(VLOOKUP(A38, M_S3, 3, FALSE), "")</f>
        <v/>
      </c>
      <c r="I38" t="str">
        <f>IF('Production &amp; Circular'!B36=0, "", 'Production &amp; Circular'!B36 * (1 - 'Production &amp; Circular'!D36))</f>
        <v/>
      </c>
    </row>
    <row r="39" spans="2:9">
      <c r="B39" t="str">
        <f>IFERROR(VLOOKUP(A39, M_S3, 2, FALSE), "")</f>
        <v/>
      </c>
      <c r="D39" t="str">
        <f>IFERROR(VLOOKUP(A39, M_S3, 3, FALSE), "")</f>
        <v/>
      </c>
      <c r="I39" t="str">
        <f>IF('Production &amp; Circular'!B37=0, "", 'Production &amp; Circular'!B37 * (1 - 'Production &amp; Circular'!D37))</f>
        <v/>
      </c>
    </row>
    <row r="40" spans="2:9">
      <c r="B40" t="str">
        <f>IFERROR(VLOOKUP(A40, M_S3, 2, FALSE), "")</f>
        <v/>
      </c>
      <c r="D40" t="str">
        <f>IFERROR(VLOOKUP(A40, M_S3, 3, FALSE), "")</f>
        <v/>
      </c>
      <c r="I40" t="str">
        <f>IF('Production &amp; Circular'!B38=0, "", 'Production &amp; Circular'!B38 * (1 - 'Production &amp; Circular'!D38))</f>
        <v/>
      </c>
    </row>
    <row r="41" spans="2:9">
      <c r="B41" t="str">
        <f>IFERROR(VLOOKUP(A41, M_S3, 2, FALSE), "")</f>
        <v/>
      </c>
      <c r="D41" t="str">
        <f>IFERROR(VLOOKUP(A41, M_S3, 3, FALSE), "")</f>
        <v/>
      </c>
      <c r="I41" t="str">
        <f>IF('Production &amp; Circular'!B39=0, "", 'Production &amp; Circular'!B39 * (1 - 'Production &amp; Circular'!D39))</f>
        <v/>
      </c>
    </row>
    <row r="42" spans="2:9">
      <c r="B42" t="str">
        <f>IFERROR(VLOOKUP(A42, M_S3, 2, FALSE), "")</f>
        <v/>
      </c>
      <c r="D42" t="str">
        <f>IFERROR(VLOOKUP(A42, M_S3, 3, FALSE), "")</f>
        <v/>
      </c>
      <c r="I42" t="str">
        <f>IF('Production &amp; Circular'!B40=0, "", 'Production &amp; Circular'!B40 * (1 - 'Production &amp; Circular'!D40))</f>
        <v/>
      </c>
    </row>
    <row r="43" spans="2:9">
      <c r="B43" t="str">
        <f>IFERROR(VLOOKUP(A43, M_S3, 2, FALSE), "")</f>
        <v/>
      </c>
      <c r="D43" t="str">
        <f>IFERROR(VLOOKUP(A43, M_S3, 3, FALSE), "")</f>
        <v/>
      </c>
      <c r="I43" t="str">
        <f>IF('Production &amp; Circular'!B41=0, "", 'Production &amp; Circular'!B41 * (1 - 'Production &amp; Circular'!D41))</f>
        <v/>
      </c>
    </row>
    <row r="44" spans="2:9">
      <c r="B44" t="str">
        <f>IFERROR(VLOOKUP(A44, M_S3, 2, FALSE), "")</f>
        <v/>
      </c>
      <c r="D44" t="str">
        <f>IFERROR(VLOOKUP(A44, M_S3, 3, FALSE), "")</f>
        <v/>
      </c>
      <c r="I44" t="str">
        <f>IF('Production &amp; Circular'!B42=0, "", 'Production &amp; Circular'!B42 * (1 - 'Production &amp; Circular'!D42))</f>
        <v/>
      </c>
    </row>
    <row r="45" spans="2:9">
      <c r="B45" t="str">
        <f>IFERROR(VLOOKUP(A45, M_S3, 2, FALSE), "")</f>
        <v/>
      </c>
      <c r="D45" t="str">
        <f>IFERROR(VLOOKUP(A45, M_S3, 3, FALSE), "")</f>
        <v/>
      </c>
      <c r="I45" t="str">
        <f>IF('Production &amp; Circular'!B43=0, "", 'Production &amp; Circular'!B43 * (1 - 'Production &amp; Circular'!D43))</f>
        <v/>
      </c>
    </row>
    <row r="46" spans="2:9">
      <c r="B46" t="str">
        <f>IFERROR(VLOOKUP(A46, M_S3, 2, FALSE), "")</f>
        <v/>
      </c>
      <c r="D46" t="str">
        <f>IFERROR(VLOOKUP(A46, M_S3, 3, FALSE), "")</f>
        <v/>
      </c>
      <c r="I46" t="str">
        <f>IF('Production &amp; Circular'!B44=0, "", 'Production &amp; Circular'!B44 * (1 - 'Production &amp; Circular'!D44))</f>
        <v/>
      </c>
    </row>
    <row r="47" spans="2:9">
      <c r="B47" t="str">
        <f>IFERROR(VLOOKUP(A47, M_S3, 2, FALSE), "")</f>
        <v/>
      </c>
      <c r="D47" t="str">
        <f>IFERROR(VLOOKUP(A47, M_S3, 3, FALSE), "")</f>
        <v/>
      </c>
      <c r="I47" t="str">
        <f>IF('Production &amp; Circular'!B45=0, "", 'Production &amp; Circular'!B45 * (1 - 'Production &amp; Circular'!D45))</f>
        <v/>
      </c>
    </row>
    <row r="48" spans="2:9">
      <c r="B48" t="str">
        <f>IFERROR(VLOOKUP(A48, M_S3, 2, FALSE), "")</f>
        <v/>
      </c>
      <c r="D48" t="str">
        <f>IFERROR(VLOOKUP(A48, M_S3, 3, FALSE), "")</f>
        <v/>
      </c>
      <c r="I48" t="str">
        <f>IF('Production &amp; Circular'!B46=0, "", 'Production &amp; Circular'!B46 * (1 - 'Production &amp; Circular'!D46))</f>
        <v/>
      </c>
    </row>
    <row r="49" spans="2:9">
      <c r="B49" t="str">
        <f>IFERROR(VLOOKUP(A49, M_S3, 2, FALSE), "")</f>
        <v/>
      </c>
      <c r="D49" t="str">
        <f>IFERROR(VLOOKUP(A49, M_S3, 3, FALSE), "")</f>
        <v/>
      </c>
      <c r="I49" t="str">
        <f>IF('Production &amp; Circular'!B47=0, "", 'Production &amp; Circular'!B47 * (1 - 'Production &amp; Circular'!D47))</f>
        <v/>
      </c>
    </row>
    <row r="50" spans="2:9">
      <c r="B50" t="str">
        <f>IFERROR(VLOOKUP(A50, M_S3, 2, FALSE), "")</f>
        <v/>
      </c>
      <c r="D50" t="str">
        <f>IFERROR(VLOOKUP(A50, M_S3, 3, FALSE), "")</f>
        <v/>
      </c>
      <c r="I50" t="str">
        <f>IF('Production &amp; Circular'!B48=0, "", 'Production &amp; Circular'!B48 * (1 - 'Production &amp; Circular'!D48))</f>
        <v/>
      </c>
    </row>
    <row r="51" spans="2:9">
      <c r="B51" t="str">
        <f>IFERROR(VLOOKUP(A51, M_S3, 2, FALSE), "")</f>
        <v/>
      </c>
      <c r="D51" t="str">
        <f>IFERROR(VLOOKUP(A51, M_S3, 3, FALSE), "")</f>
        <v/>
      </c>
      <c r="I51" t="str">
        <f>IF('Production &amp; Circular'!B49=0, "", 'Production &amp; Circular'!B49 * (1 - 'Production &amp; Circular'!D49))</f>
        <v/>
      </c>
    </row>
    <row r="52" spans="2:9">
      <c r="B52" t="str">
        <f>IFERROR(VLOOKUP(A52, M_S3, 2, FALSE), "")</f>
        <v/>
      </c>
      <c r="D52" t="str">
        <f>IFERROR(VLOOKUP(A52, M_S3, 3, FALSE), "")</f>
        <v/>
      </c>
      <c r="I52" t="str">
        <f>IF('Production &amp; Circular'!B50=0, "", 'Production &amp; Circular'!B50 * (1 - 'Production &amp; Circular'!D50))</f>
        <v/>
      </c>
    </row>
    <row r="53" spans="2:9">
      <c r="B53" t="str">
        <f>IFERROR(VLOOKUP(A53, M_S3, 2, FALSE), "")</f>
        <v/>
      </c>
      <c r="D53" t="str">
        <f>IFERROR(VLOOKUP(A53, M_S3, 3, FALSE), "")</f>
        <v/>
      </c>
      <c r="I53" t="str">
        <f>IF('Production &amp; Circular'!B51=0, "", 'Production &amp; Circular'!B51 * (1 - 'Production &amp; Circular'!D51))</f>
        <v/>
      </c>
    </row>
    <row r="54" spans="2:9">
      <c r="B54" t="str">
        <f>IFERROR(VLOOKUP(A54, M_S3, 2, FALSE), "")</f>
        <v/>
      </c>
      <c r="D54" t="str">
        <f>IFERROR(VLOOKUP(A54, M_S3, 3, FALSE), "")</f>
        <v/>
      </c>
      <c r="I54" t="str">
        <f>IF('Production &amp; Circular'!B52=0, "", 'Production &amp; Circular'!B52 * (1 - 'Production &amp; Circular'!D52))</f>
        <v/>
      </c>
    </row>
    <row r="55" spans="2:9">
      <c r="B55" t="str">
        <f>IFERROR(VLOOKUP(A55, M_S3, 2, FALSE), "")</f>
        <v/>
      </c>
      <c r="D55" t="str">
        <f>IFERROR(VLOOKUP(A55, M_S3, 3, FALSE), "")</f>
        <v/>
      </c>
      <c r="I55" t="str">
        <f>IF('Production &amp; Circular'!B53=0, "", 'Production &amp; Circular'!B53 * (1 - 'Production &amp; Circular'!D53))</f>
        <v/>
      </c>
    </row>
    <row r="56" spans="2:9">
      <c r="B56" t="str">
        <f>IFERROR(VLOOKUP(A56, M_S3, 2, FALSE), "")</f>
        <v/>
      </c>
      <c r="D56" t="str">
        <f>IFERROR(VLOOKUP(A56, M_S3, 3, FALSE), "")</f>
        <v/>
      </c>
      <c r="I56" t="str">
        <f>IF('Production &amp; Circular'!B54=0, "", 'Production &amp; Circular'!B54 * (1 - 'Production &amp; Circular'!D54))</f>
        <v/>
      </c>
    </row>
    <row r="57" spans="2:9">
      <c r="B57" t="str">
        <f>IFERROR(VLOOKUP(A57, M_S3, 2, FALSE), "")</f>
        <v/>
      </c>
      <c r="D57" t="str">
        <f>IFERROR(VLOOKUP(A57, M_S3, 3, FALSE), "")</f>
        <v/>
      </c>
      <c r="I57" t="str">
        <f>IF('Production &amp; Circular'!B55=0, "", 'Production &amp; Circular'!B55 * (1 - 'Production &amp; Circular'!D55))</f>
        <v/>
      </c>
    </row>
    <row r="58" spans="2:9">
      <c r="B58" t="str">
        <f>IFERROR(VLOOKUP(A58, M_S3, 2, FALSE), "")</f>
        <v/>
      </c>
      <c r="D58" t="str">
        <f>IFERROR(VLOOKUP(A58, M_S3, 3, FALSE), "")</f>
        <v/>
      </c>
      <c r="I58" t="str">
        <f>IF('Production &amp; Circular'!B56=0, "", 'Production &amp; Circular'!B56 * (1 - 'Production &amp; Circular'!D56))</f>
        <v/>
      </c>
    </row>
    <row r="59" spans="2:9">
      <c r="B59" t="str">
        <f>IFERROR(VLOOKUP(A59, M_S3, 2, FALSE), "")</f>
        <v/>
      </c>
      <c r="D59" t="str">
        <f>IFERROR(VLOOKUP(A59, M_S3, 3, FALSE), "")</f>
        <v/>
      </c>
      <c r="I59" t="str">
        <f>IF('Production &amp; Circular'!B57=0, "", 'Production &amp; Circular'!B57 * (1 - 'Production &amp; Circular'!D57))</f>
        <v/>
      </c>
    </row>
    <row r="60" spans="2:9">
      <c r="B60" t="str">
        <f>IFERROR(VLOOKUP(A60, M_S3, 2, FALSE), "")</f>
        <v/>
      </c>
      <c r="D60" t="str">
        <f>IFERROR(VLOOKUP(A60, M_S3, 3, FALSE), "")</f>
        <v/>
      </c>
      <c r="I60" t="str">
        <f>IF('Production &amp; Circular'!B58=0, "", 'Production &amp; Circular'!B58 * (1 - 'Production &amp; Circular'!D58))</f>
        <v/>
      </c>
    </row>
    <row r="61" spans="2:9">
      <c r="B61" t="str">
        <f>IFERROR(VLOOKUP(A61, M_S3, 2, FALSE), "")</f>
        <v/>
      </c>
      <c r="D61" t="str">
        <f>IFERROR(VLOOKUP(A61, M_S3, 3, FALSE), "")</f>
        <v/>
      </c>
      <c r="I61" t="str">
        <f>IF('Production &amp; Circular'!B59=0, "", 'Production &amp; Circular'!B59 * (1 - 'Production &amp; Circular'!D59))</f>
        <v/>
      </c>
    </row>
    <row r="62" spans="2:9">
      <c r="B62" t="str">
        <f>IFERROR(VLOOKUP(A62, M_S3, 2, FALSE), "")</f>
        <v/>
      </c>
      <c r="D62" t="str">
        <f>IFERROR(VLOOKUP(A62, M_S3, 3, FALSE), "")</f>
        <v/>
      </c>
      <c r="I62" t="str">
        <f>IF('Production &amp; Circular'!B60=0, "", 'Production &amp; Circular'!B60 * (1 - 'Production &amp; Circular'!D60))</f>
        <v/>
      </c>
    </row>
    <row r="63" spans="2:9">
      <c r="B63" t="str">
        <f>IFERROR(VLOOKUP(A63, M_S3, 2, FALSE), "")</f>
        <v/>
      </c>
      <c r="D63" t="str">
        <f>IFERROR(VLOOKUP(A63, M_S3, 3, FALSE), "")</f>
        <v/>
      </c>
      <c r="I63" t="str">
        <f>IF('Production &amp; Circular'!B61=0, "", 'Production &amp; Circular'!B61 * (1 - 'Production &amp; Circular'!D61))</f>
        <v/>
      </c>
    </row>
    <row r="64" spans="2:9">
      <c r="B64" t="str">
        <f>IFERROR(VLOOKUP(A64, M_S3, 2, FALSE), "")</f>
        <v/>
      </c>
      <c r="D64" t="str">
        <f>IFERROR(VLOOKUP(A64, M_S3, 3, FALSE), "")</f>
        <v/>
      </c>
      <c r="I64" t="str">
        <f>IF('Production &amp; Circular'!B62=0, "", 'Production &amp; Circular'!B62 * (1 - 'Production &amp; Circular'!D62))</f>
        <v/>
      </c>
    </row>
    <row r="65" spans="2:9">
      <c r="B65" t="str">
        <f>IFERROR(VLOOKUP(A65, M_S3, 2, FALSE), "")</f>
        <v/>
      </c>
      <c r="D65" t="str">
        <f>IFERROR(VLOOKUP(A65, M_S3, 3, FALSE), "")</f>
        <v/>
      </c>
      <c r="I65" t="str">
        <f>IF('Production &amp; Circular'!B63=0, "", 'Production &amp; Circular'!B63 * (1 - 'Production &amp; Circular'!D63))</f>
        <v/>
      </c>
    </row>
    <row r="66" spans="2:9">
      <c r="B66" t="str">
        <f>IFERROR(VLOOKUP(A66, M_S3, 2, FALSE), "")</f>
        <v/>
      </c>
      <c r="D66" t="str">
        <f>IFERROR(VLOOKUP(A66, M_S3, 3, FALSE), "")</f>
        <v/>
      </c>
      <c r="I66" t="str">
        <f>IF('Production &amp; Circular'!B64=0, "", 'Production &amp; Circular'!B64 * (1 - 'Production &amp; Circular'!D64))</f>
        <v/>
      </c>
    </row>
    <row r="67" spans="2:9">
      <c r="B67" t="str">
        <f>IFERROR(VLOOKUP(A67, M_S3, 2, FALSE), "")</f>
        <v/>
      </c>
      <c r="D67" t="str">
        <f>IFERROR(VLOOKUP(A67, M_S3, 3, FALSE), "")</f>
        <v/>
      </c>
      <c r="I67" t="str">
        <f>IF('Production &amp; Circular'!B65=0, "", 'Production &amp; Circular'!B65 * (1 - 'Production &amp; Circular'!D65))</f>
        <v/>
      </c>
    </row>
    <row r="68" spans="2:9">
      <c r="B68" t="str">
        <f>IFERROR(VLOOKUP(A68, M_S3, 2, FALSE), "")</f>
        <v/>
      </c>
      <c r="D68" t="str">
        <f>IFERROR(VLOOKUP(A68, M_S3, 3, FALSE), "")</f>
        <v/>
      </c>
      <c r="I68" t="str">
        <f>IF('Production &amp; Circular'!B66=0, "", 'Production &amp; Circular'!B66 * (1 - 'Production &amp; Circular'!D66))</f>
        <v/>
      </c>
    </row>
    <row r="69" spans="2:9">
      <c r="B69" t="str">
        <f>IFERROR(VLOOKUP(A69, M_S3, 2, FALSE), "")</f>
        <v/>
      </c>
      <c r="D69" t="str">
        <f>IFERROR(VLOOKUP(A69, M_S3, 3, FALSE), "")</f>
        <v/>
      </c>
      <c r="I69" t="str">
        <f>IF('Production &amp; Circular'!B67=0, "", 'Production &amp; Circular'!B67 * (1 - 'Production &amp; Circular'!D67))</f>
        <v/>
      </c>
    </row>
    <row r="70" spans="2:9">
      <c r="B70" t="str">
        <f>IFERROR(VLOOKUP(A70, M_S3, 2, FALSE), "")</f>
        <v/>
      </c>
      <c r="D70" t="str">
        <f>IFERROR(VLOOKUP(A70, M_S3, 3, FALSE), "")</f>
        <v/>
      </c>
      <c r="I70" t="str">
        <f>IF('Production &amp; Circular'!B68=0, "", 'Production &amp; Circular'!B68 * (1 - 'Production &amp; Circular'!D68))</f>
        <v/>
      </c>
    </row>
    <row r="71" spans="2:9">
      <c r="B71" t="str">
        <f>IFERROR(VLOOKUP(A71, M_S3, 2, FALSE), "")</f>
        <v/>
      </c>
      <c r="D71" t="str">
        <f>IFERROR(VLOOKUP(A71, M_S3, 3, FALSE), "")</f>
        <v/>
      </c>
      <c r="I71" t="str">
        <f>IF('Production &amp; Circular'!B69=0, "", 'Production &amp; Circular'!B69 * (1 - 'Production &amp; Circular'!D69))</f>
        <v/>
      </c>
    </row>
    <row r="72" spans="2:9">
      <c r="B72" t="str">
        <f>IFERROR(VLOOKUP(A72, M_S3, 2, FALSE), "")</f>
        <v/>
      </c>
      <c r="D72" t="str">
        <f>IFERROR(VLOOKUP(A72, M_S3, 3, FALSE), "")</f>
        <v/>
      </c>
      <c r="I72" t="str">
        <f>IF('Production &amp; Circular'!B70=0, "", 'Production &amp; Circular'!B70 * (1 - 'Production &amp; Circular'!D70))</f>
        <v/>
      </c>
    </row>
    <row r="73" spans="2:9">
      <c r="B73" t="str">
        <f>IFERROR(VLOOKUP(A73, M_S3, 2, FALSE), "")</f>
        <v/>
      </c>
      <c r="D73" t="str">
        <f>IFERROR(VLOOKUP(A73, M_S3, 3, FALSE), "")</f>
        <v/>
      </c>
      <c r="I73" t="str">
        <f>IF('Production &amp; Circular'!B71=0, "", 'Production &amp; Circular'!B71 * (1 - 'Production &amp; Circular'!D71))</f>
        <v/>
      </c>
    </row>
    <row r="74" spans="2:9">
      <c r="B74" t="str">
        <f>IFERROR(VLOOKUP(A74, M_S3, 2, FALSE), "")</f>
        <v/>
      </c>
      <c r="D74" t="str">
        <f>IFERROR(VLOOKUP(A74, M_S3, 3, FALSE), "")</f>
        <v/>
      </c>
      <c r="I74" t="str">
        <f>IF('Production &amp; Circular'!B72=0, "", 'Production &amp; Circular'!B72 * (1 - 'Production &amp; Circular'!D72))</f>
        <v/>
      </c>
    </row>
    <row r="75" spans="2:9">
      <c r="B75" t="str">
        <f>IFERROR(VLOOKUP(A75, M_S3, 2, FALSE), "")</f>
        <v/>
      </c>
      <c r="D75" t="str">
        <f>IFERROR(VLOOKUP(A75, M_S3, 3, FALSE), "")</f>
        <v/>
      </c>
      <c r="I75" t="str">
        <f>IF('Production &amp; Circular'!B73=0, "", 'Production &amp; Circular'!B73 * (1 - 'Production &amp; Circular'!D73))</f>
        <v/>
      </c>
    </row>
    <row r="76" spans="2:9">
      <c r="B76" t="str">
        <f>IFERROR(VLOOKUP(A76, M_S3, 2, FALSE), "")</f>
        <v/>
      </c>
      <c r="D76" t="str">
        <f>IFERROR(VLOOKUP(A76, M_S3, 3, FALSE), "")</f>
        <v/>
      </c>
      <c r="I76" t="str">
        <f>IF('Production &amp; Circular'!B74=0, "", 'Production &amp; Circular'!B74 * (1 - 'Production &amp; Circular'!D74))</f>
        <v/>
      </c>
    </row>
    <row r="77" spans="2:9">
      <c r="B77" t="str">
        <f>IFERROR(VLOOKUP(A77, M_S3, 2, FALSE), "")</f>
        <v/>
      </c>
      <c r="D77" t="str">
        <f>IFERROR(VLOOKUP(A77, M_S3, 3, FALSE), "")</f>
        <v/>
      </c>
      <c r="I77" t="str">
        <f>IF('Production &amp; Circular'!B75=0, "", 'Production &amp; Circular'!B75 * (1 - 'Production &amp; Circular'!D75))</f>
        <v/>
      </c>
    </row>
    <row r="78" spans="2:9">
      <c r="B78" t="str">
        <f>IFERROR(VLOOKUP(A78, M_S3, 2, FALSE), "")</f>
        <v/>
      </c>
      <c r="D78" t="str">
        <f>IFERROR(VLOOKUP(A78, M_S3, 3, FALSE), "")</f>
        <v/>
      </c>
      <c r="I78" t="str">
        <f>IF('Production &amp; Circular'!B76=0, "", 'Production &amp; Circular'!B76 * (1 - 'Production &amp; Circular'!D76))</f>
        <v/>
      </c>
    </row>
    <row r="79" spans="2:9">
      <c r="B79" t="str">
        <f>IFERROR(VLOOKUP(A79, M_S3, 2, FALSE), "")</f>
        <v/>
      </c>
      <c r="D79" t="str">
        <f>IFERROR(VLOOKUP(A79, M_S3, 3, FALSE), "")</f>
        <v/>
      </c>
      <c r="I79" t="str">
        <f>IF('Production &amp; Circular'!B77=0, "", 'Production &amp; Circular'!B77 * (1 - 'Production &amp; Circular'!D77))</f>
        <v/>
      </c>
    </row>
    <row r="80" spans="2:9">
      <c r="B80" t="str">
        <f>IFERROR(VLOOKUP(A80, M_S3, 2, FALSE), "")</f>
        <v/>
      </c>
      <c r="D80" t="str">
        <f>IFERROR(VLOOKUP(A80, M_S3, 3, FALSE), "")</f>
        <v/>
      </c>
      <c r="I80" t="str">
        <f>IF('Production &amp; Circular'!B78=0, "", 'Production &amp; Circular'!B78 * (1 - 'Production &amp; Circular'!D78))</f>
        <v/>
      </c>
    </row>
    <row r="81" spans="2:9">
      <c r="B81" t="str">
        <f>IFERROR(VLOOKUP(A81, M_S3, 2, FALSE), "")</f>
        <v/>
      </c>
      <c r="D81" t="str">
        <f>IFERROR(VLOOKUP(A81, M_S3, 3, FALSE), "")</f>
        <v/>
      </c>
      <c r="I81" t="str">
        <f>IF('Production &amp; Circular'!B79=0, "", 'Production &amp; Circular'!B79 * (1 - 'Production &amp; Circular'!D79))</f>
        <v/>
      </c>
    </row>
    <row r="82" spans="2:9">
      <c r="B82" t="str">
        <f>IFERROR(VLOOKUP(A82, M_S3, 2, FALSE), "")</f>
        <v/>
      </c>
      <c r="D82" t="str">
        <f>IFERROR(VLOOKUP(A82, M_S3, 3, FALSE), "")</f>
        <v/>
      </c>
      <c r="I82" t="str">
        <f>IF('Production &amp; Circular'!B80=0, "", 'Production &amp; Circular'!B80 * (1 - 'Production &amp; Circular'!D80))</f>
        <v/>
      </c>
    </row>
    <row r="83" spans="2:9">
      <c r="B83" t="str">
        <f>IFERROR(VLOOKUP(A83, M_S3, 2, FALSE), "")</f>
        <v/>
      </c>
      <c r="D83" t="str">
        <f>IFERROR(VLOOKUP(A83, M_S3, 3, FALSE), "")</f>
        <v/>
      </c>
      <c r="I83" t="str">
        <f>IF('Production &amp; Circular'!B81=0, "", 'Production &amp; Circular'!B81 * (1 - 'Production &amp; Circular'!D81))</f>
        <v/>
      </c>
    </row>
    <row r="84" spans="2:9">
      <c r="B84" t="str">
        <f>IFERROR(VLOOKUP(A84, M_S3, 2, FALSE), "")</f>
        <v/>
      </c>
      <c r="D84" t="str">
        <f>IFERROR(VLOOKUP(A84, M_S3, 3, FALSE), "")</f>
        <v/>
      </c>
      <c r="I84" t="str">
        <f>IF('Production &amp; Circular'!B82=0, "", 'Production &amp; Circular'!B82 * (1 - 'Production &amp; Circular'!D82))</f>
        <v/>
      </c>
    </row>
    <row r="85" spans="2:9">
      <c r="B85" t="str">
        <f>IFERROR(VLOOKUP(A85, M_S3, 2, FALSE), "")</f>
        <v/>
      </c>
      <c r="D85" t="str">
        <f>IFERROR(VLOOKUP(A85, M_S3, 3, FALSE), "")</f>
        <v/>
      </c>
      <c r="I85" t="str">
        <f>IF('Production &amp; Circular'!B83=0, "", 'Production &amp; Circular'!B83 * (1 - 'Production &amp; Circular'!D83))</f>
        <v/>
      </c>
    </row>
    <row r="86" spans="2:9">
      <c r="B86" t="str">
        <f>IFERROR(VLOOKUP(A86, M_S3, 2, FALSE), "")</f>
        <v/>
      </c>
      <c r="D86" t="str">
        <f>IFERROR(VLOOKUP(A86, M_S3, 3, FALSE), "")</f>
        <v/>
      </c>
      <c r="I86" t="str">
        <f>IF('Production &amp; Circular'!B84=0, "", 'Production &amp; Circular'!B84 * (1 - 'Production &amp; Circular'!D84))</f>
        <v/>
      </c>
    </row>
    <row r="87" spans="2:9">
      <c r="B87" t="str">
        <f>IFERROR(VLOOKUP(A87, M_S3, 2, FALSE), "")</f>
        <v/>
      </c>
      <c r="D87" t="str">
        <f>IFERROR(VLOOKUP(A87, M_S3, 3, FALSE), "")</f>
        <v/>
      </c>
      <c r="I87" t="str">
        <f>IF('Production &amp; Circular'!B85=0, "", 'Production &amp; Circular'!B85 * (1 - 'Production &amp; Circular'!D85))</f>
        <v/>
      </c>
    </row>
    <row r="88" spans="2:9">
      <c r="B88" t="str">
        <f>IFERROR(VLOOKUP(A88, M_S3, 2, FALSE), "")</f>
        <v/>
      </c>
      <c r="D88" t="str">
        <f>IFERROR(VLOOKUP(A88, M_S3, 3, FALSE), "")</f>
        <v/>
      </c>
      <c r="I88" t="str">
        <f>IF('Production &amp; Circular'!B86=0, "", 'Production &amp; Circular'!B86 * (1 - 'Production &amp; Circular'!D86))</f>
        <v/>
      </c>
    </row>
    <row r="89" spans="2:9">
      <c r="B89" t="str">
        <f>IFERROR(VLOOKUP(A89, M_S3, 2, FALSE), "")</f>
        <v/>
      </c>
      <c r="D89" t="str">
        <f>IFERROR(VLOOKUP(A89, M_S3, 3, FALSE), "")</f>
        <v/>
      </c>
      <c r="I89" t="str">
        <f>IF('Production &amp; Circular'!B87=0, "", 'Production &amp; Circular'!B87 * (1 - 'Production &amp; Circular'!D87))</f>
        <v/>
      </c>
    </row>
    <row r="90" spans="2:9">
      <c r="B90" t="str">
        <f>IFERROR(VLOOKUP(A90, M_S3, 2, FALSE), "")</f>
        <v/>
      </c>
      <c r="D90" t="str">
        <f>IFERROR(VLOOKUP(A90, M_S3, 3, FALSE), "")</f>
        <v/>
      </c>
      <c r="I90" t="str">
        <f>IF('Production &amp; Circular'!B88=0, "", 'Production &amp; Circular'!B88 * (1 - 'Production &amp; Circular'!D88))</f>
        <v/>
      </c>
    </row>
    <row r="91" spans="2:9">
      <c r="B91" t="str">
        <f>IFERROR(VLOOKUP(A91, M_S3, 2, FALSE), "")</f>
        <v/>
      </c>
      <c r="D91" t="str">
        <f>IFERROR(VLOOKUP(A91, M_S3, 3, FALSE), "")</f>
        <v/>
      </c>
      <c r="I91" t="str">
        <f>IF('Production &amp; Circular'!B89=0, "", 'Production &amp; Circular'!B89 * (1 - 'Production &amp; Circular'!D89))</f>
        <v/>
      </c>
    </row>
    <row r="92" spans="2:9">
      <c r="B92" t="str">
        <f>IFERROR(VLOOKUP(A92, M_S3, 2, FALSE), "")</f>
        <v/>
      </c>
      <c r="D92" t="str">
        <f>IFERROR(VLOOKUP(A92, M_S3, 3, FALSE), "")</f>
        <v/>
      </c>
      <c r="I92" t="str">
        <f>IF('Production &amp; Circular'!B90=0, "", 'Production &amp; Circular'!B90 * (1 - 'Production &amp; Circular'!D90))</f>
        <v/>
      </c>
    </row>
    <row r="93" spans="2:9">
      <c r="B93" t="str">
        <f>IFERROR(VLOOKUP(A93, M_S3, 2, FALSE), "")</f>
        <v/>
      </c>
      <c r="D93" t="str">
        <f>IFERROR(VLOOKUP(A93, M_S3, 3, FALSE), "")</f>
        <v/>
      </c>
      <c r="I93" t="str">
        <f>IF('Production &amp; Circular'!B91=0, "", 'Production &amp; Circular'!B91 * (1 - 'Production &amp; Circular'!D91))</f>
        <v/>
      </c>
    </row>
    <row r="94" spans="2:9">
      <c r="B94" t="str">
        <f>IFERROR(VLOOKUP(A94, M_S3, 2, FALSE), "")</f>
        <v/>
      </c>
      <c r="D94" t="str">
        <f>IFERROR(VLOOKUP(A94, M_S3, 3, FALSE), "")</f>
        <v/>
      </c>
      <c r="I94" t="str">
        <f>IF('Production &amp; Circular'!B92=0, "", 'Production &amp; Circular'!B92 * (1 - 'Production &amp; Circular'!D92))</f>
        <v/>
      </c>
    </row>
    <row r="95" spans="2:9">
      <c r="B95" t="str">
        <f>IFERROR(VLOOKUP(A95, M_S3, 2, FALSE), "")</f>
        <v/>
      </c>
      <c r="D95" t="str">
        <f>IFERROR(VLOOKUP(A95, M_S3, 3, FALSE), "")</f>
        <v/>
      </c>
      <c r="I95" t="str">
        <f>IF('Production &amp; Circular'!B93=0, "", 'Production &amp; Circular'!B93 * (1 - 'Production &amp; Circular'!D93))</f>
        <v/>
      </c>
    </row>
    <row r="96" spans="2:9">
      <c r="B96" t="str">
        <f>IFERROR(VLOOKUP(A96, M_S3, 2, FALSE), "")</f>
        <v/>
      </c>
      <c r="D96" t="str">
        <f>IFERROR(VLOOKUP(A96, M_S3, 3, FALSE), "")</f>
        <v/>
      </c>
      <c r="I96" t="str">
        <f>IF('Production &amp; Circular'!B94=0, "", 'Production &amp; Circular'!B94 * (1 - 'Production &amp; Circular'!D94))</f>
        <v/>
      </c>
    </row>
    <row r="97" spans="2:9">
      <c r="B97" t="str">
        <f>IFERROR(VLOOKUP(A97, M_S3, 2, FALSE), "")</f>
        <v/>
      </c>
      <c r="D97" t="str">
        <f>IFERROR(VLOOKUP(A97, M_S3, 3, FALSE), "")</f>
        <v/>
      </c>
      <c r="I97" t="str">
        <f>IF('Production &amp; Circular'!B95=0, "", 'Production &amp; Circular'!B95 * (1 - 'Production &amp; Circular'!D95))</f>
        <v/>
      </c>
    </row>
    <row r="98" spans="2:9">
      <c r="B98" t="str">
        <f>IFERROR(VLOOKUP(A98, M_S3, 2, FALSE), "")</f>
        <v/>
      </c>
      <c r="D98" t="str">
        <f>IFERROR(VLOOKUP(A98, M_S3, 3, FALSE), "")</f>
        <v/>
      </c>
      <c r="I98" t="str">
        <f>IF('Production &amp; Circular'!B96=0, "", 'Production &amp; Circular'!B96 * (1 - 'Production &amp; Circular'!D96))</f>
        <v/>
      </c>
    </row>
    <row r="99" spans="2:9">
      <c r="B99" t="str">
        <f>IFERROR(VLOOKUP(A99, M_S3, 2, FALSE), "")</f>
        <v/>
      </c>
      <c r="D99" t="str">
        <f>IFERROR(VLOOKUP(A99, M_S3, 3, FALSE), "")</f>
        <v/>
      </c>
      <c r="I99" t="str">
        <f>IF('Production &amp; Circular'!B97=0, "", 'Production &amp; Circular'!B97 * (1 - 'Production &amp; Circular'!D97))</f>
        <v/>
      </c>
    </row>
    <row r="100" spans="2:9">
      <c r="B100" t="str">
        <f>IFERROR(VLOOKUP(A100, M_S3, 2, FALSE), "")</f>
        <v/>
      </c>
      <c r="D100" t="str">
        <f>IFERROR(VLOOKUP(A100, M_S3, 3, FALSE), "")</f>
        <v/>
      </c>
      <c r="I100" t="str">
        <f>IF('Production &amp; Circular'!B98=0, "", 'Production &amp; Circular'!B98 * (1 - 'Production &amp; Circular'!D98))</f>
        <v/>
      </c>
    </row>
    <row r="101" spans="2:9">
      <c r="B101" t="str">
        <f>IFERROR(VLOOKUP(A101, M_S3, 2, FALSE), "")</f>
        <v/>
      </c>
      <c r="D101" t="str">
        <f>IFERROR(VLOOKUP(A101, M_S3, 3, FALSE), "")</f>
        <v/>
      </c>
      <c r="I101" t="str">
        <f>IF('Production &amp; Circular'!B99=0, "", 'Production &amp; Circular'!B99 * (1 - 'Production &amp; Circular'!D99))</f>
        <v/>
      </c>
    </row>
    <row r="102" spans="2:9">
      <c r="B102" t="str">
        <f>IFERROR(VLOOKUP(A102, M_S3, 2, FALSE), "")</f>
        <v/>
      </c>
      <c r="D102" t="str">
        <f>IFERROR(VLOOKUP(A102, M_S3, 3, FALSE), "")</f>
        <v/>
      </c>
      <c r="I102" t="str">
        <f>IF('Production &amp; Circular'!B100=0, "", 'Production &amp; Circular'!B100 * (1 - 'Production &amp; Circular'!D100))</f>
        <v/>
      </c>
    </row>
    <row r="103" spans="2:9">
      <c r="B103" t="str">
        <f>IFERROR(VLOOKUP(A103, M_S3, 2, FALSE), "")</f>
        <v/>
      </c>
      <c r="D103" t="str">
        <f>IFERROR(VLOOKUP(A103, M_S3, 3, FALSE), "")</f>
        <v/>
      </c>
      <c r="I103" t="str">
        <f>IF('Production &amp; Circular'!B101=0, "", 'Production &amp; Circular'!B101 * (1 - 'Production &amp; Circular'!D101))</f>
        <v/>
      </c>
    </row>
    <row r="104" spans="2:9">
      <c r="B104" t="str">
        <f>IFERROR(VLOOKUP(A104, M_S3, 2, FALSE), "")</f>
        <v/>
      </c>
      <c r="D104" t="str">
        <f>IFERROR(VLOOKUP(A104, M_S3, 3, FALSE), "")</f>
        <v/>
      </c>
      <c r="I104" t="str">
        <f>IF('Production &amp; Circular'!B102=0, "", 'Production &amp; Circular'!B102 * (1 - 'Production &amp; Circular'!D102))</f>
        <v/>
      </c>
    </row>
    <row r="105" spans="2:9">
      <c r="B105" t="str">
        <f>IFERROR(VLOOKUP(A105, M_S3, 2, FALSE), "")</f>
        <v/>
      </c>
      <c r="D105" t="str">
        <f>IFERROR(VLOOKUP(A105, M_S3, 3, FALSE), "")</f>
        <v/>
      </c>
      <c r="I105" t="str">
        <f>IF('Production &amp; Circular'!B103=0, "", 'Production &amp; Circular'!B103 * (1 - 'Production &amp; Circular'!D103))</f>
        <v/>
      </c>
    </row>
    <row r="106" spans="2:9">
      <c r="B106" t="str">
        <f>IFERROR(VLOOKUP(A106, M_S3, 2, FALSE), "")</f>
        <v/>
      </c>
      <c r="D106" t="str">
        <f>IFERROR(VLOOKUP(A106, M_S3, 3, FALSE), "")</f>
        <v/>
      </c>
      <c r="I106" t="str">
        <f>IF('Production &amp; Circular'!B104=0, "", 'Production &amp; Circular'!B104 * (1 - 'Production &amp; Circular'!D104))</f>
        <v/>
      </c>
    </row>
    <row r="107" spans="2:9">
      <c r="B107" t="str">
        <f>IFERROR(VLOOKUP(A107, M_S3, 2, FALSE), "")</f>
        <v/>
      </c>
      <c r="D107" t="str">
        <f>IFERROR(VLOOKUP(A107, M_S3, 3, FALSE), "")</f>
        <v/>
      </c>
      <c r="I107" t="str">
        <f>IF('Production &amp; Circular'!B105=0, "", 'Production &amp; Circular'!B105 * (1 - 'Production &amp; Circular'!D105))</f>
        <v/>
      </c>
    </row>
    <row r="108" spans="2:9">
      <c r="B108" t="str">
        <f>IFERROR(VLOOKUP(A108, M_S3, 2, FALSE), "")</f>
        <v/>
      </c>
      <c r="D108" t="str">
        <f>IFERROR(VLOOKUP(A108, M_S3, 3, FALSE), "")</f>
        <v/>
      </c>
      <c r="I108" t="str">
        <f>IF('Production &amp; Circular'!B106=0, "", 'Production &amp; Circular'!B106 * (1 - 'Production &amp; Circular'!D106))</f>
        <v/>
      </c>
    </row>
    <row r="109" spans="2:9">
      <c r="B109" t="str">
        <f>IFERROR(VLOOKUP(A109, M_S3, 2, FALSE), "")</f>
        <v/>
      </c>
      <c r="D109" t="str">
        <f>IFERROR(VLOOKUP(A109, M_S3, 3, FALSE), "")</f>
        <v/>
      </c>
      <c r="I109" t="str">
        <f>IF('Production &amp; Circular'!B107=0, "", 'Production &amp; Circular'!B107 * (1 - 'Production &amp; Circular'!D107))</f>
        <v/>
      </c>
    </row>
    <row r="110" spans="2:9">
      <c r="B110" t="str">
        <f>IFERROR(VLOOKUP(A110, M_S3, 2, FALSE), "")</f>
        <v/>
      </c>
      <c r="D110" t="str">
        <f>IFERROR(VLOOKUP(A110, M_S3, 3, FALSE), "")</f>
        <v/>
      </c>
      <c r="I110" t="str">
        <f>IF('Production &amp; Circular'!B108=0, "", 'Production &amp; Circular'!B108 * (1 - 'Production &amp; Circular'!D108))</f>
        <v/>
      </c>
    </row>
    <row r="111" spans="2:9">
      <c r="B111" t="str">
        <f>IFERROR(VLOOKUP(A111, M_S3, 2, FALSE), "")</f>
        <v/>
      </c>
      <c r="D111" t="str">
        <f>IFERROR(VLOOKUP(A111, M_S3, 3, FALSE), "")</f>
        <v/>
      </c>
      <c r="I111" t="str">
        <f>IF('Production &amp; Circular'!B109=0, "", 'Production &amp; Circular'!B109 * (1 - 'Production &amp; Circular'!D109))</f>
        <v/>
      </c>
    </row>
    <row r="112" spans="2:9">
      <c r="B112" t="str">
        <f>IFERROR(VLOOKUP(A112, M_S3, 2, FALSE), "")</f>
        <v/>
      </c>
      <c r="D112" t="str">
        <f>IFERROR(VLOOKUP(A112, M_S3, 3, FALSE), "")</f>
        <v/>
      </c>
      <c r="I112" t="str">
        <f>IF('Production &amp; Circular'!B110=0, "", 'Production &amp; Circular'!B110 * (1 - 'Production &amp; Circular'!D110))</f>
        <v/>
      </c>
    </row>
    <row r="113" spans="2:9">
      <c r="B113" t="str">
        <f>IFERROR(VLOOKUP(A113, M_S3, 2, FALSE), "")</f>
        <v/>
      </c>
      <c r="D113" t="str">
        <f>IFERROR(VLOOKUP(A113, M_S3, 3, FALSE), "")</f>
        <v/>
      </c>
      <c r="I113" t="str">
        <f>IF('Production &amp; Circular'!B111=0, "", 'Production &amp; Circular'!B111 * (1 - 'Production &amp; Circular'!D111))</f>
        <v/>
      </c>
    </row>
    <row r="114" spans="2:9">
      <c r="B114" t="str">
        <f>IFERROR(VLOOKUP(A114, M_S3, 2, FALSE), "")</f>
        <v/>
      </c>
      <c r="D114" t="str">
        <f>IFERROR(VLOOKUP(A114, M_S3, 3, FALSE), "")</f>
        <v/>
      </c>
      <c r="I114" t="str">
        <f>IF('Production &amp; Circular'!B112=0, "", 'Production &amp; Circular'!B112 * (1 - 'Production &amp; Circular'!D112))</f>
        <v/>
      </c>
    </row>
    <row r="115" spans="2:9">
      <c r="B115" t="str">
        <f>IFERROR(VLOOKUP(A115, M_S3, 2, FALSE), "")</f>
        <v/>
      </c>
      <c r="D115" t="str">
        <f>IFERROR(VLOOKUP(A115, M_S3, 3, FALSE), "")</f>
        <v/>
      </c>
      <c r="I115" t="str">
        <f>IF('Production &amp; Circular'!B113=0, "", 'Production &amp; Circular'!B113 * (1 - 'Production &amp; Circular'!D113))</f>
        <v/>
      </c>
    </row>
    <row r="116" spans="2:9">
      <c r="B116" t="str">
        <f>IFERROR(VLOOKUP(A116, M_S3, 2, FALSE), "")</f>
        <v/>
      </c>
      <c r="D116" t="str">
        <f>IFERROR(VLOOKUP(A116, M_S3, 3, FALSE), "")</f>
        <v/>
      </c>
      <c r="I116" t="str">
        <f>IF('Production &amp; Circular'!B114=0, "", 'Production &amp; Circular'!B114 * (1 - 'Production &amp; Circular'!D114))</f>
        <v/>
      </c>
    </row>
    <row r="117" spans="2:9">
      <c r="B117" t="str">
        <f>IFERROR(VLOOKUP(A117, M_S3, 2, FALSE), "")</f>
        <v/>
      </c>
      <c r="D117" t="str">
        <f>IFERROR(VLOOKUP(A117, M_S3, 3, FALSE), "")</f>
        <v/>
      </c>
      <c r="I117" t="str">
        <f>IF('Production &amp; Circular'!B115=0, "", 'Production &amp; Circular'!B115 * (1 - 'Production &amp; Circular'!D115))</f>
        <v/>
      </c>
    </row>
    <row r="118" spans="2:9">
      <c r="B118" t="str">
        <f>IFERROR(VLOOKUP(A118, M_S3, 2, FALSE), "")</f>
        <v/>
      </c>
      <c r="D118" t="str">
        <f>IFERROR(VLOOKUP(A118, M_S3, 3, FALSE), "")</f>
        <v/>
      </c>
      <c r="I118" t="str">
        <f>IF('Production &amp; Circular'!B116=0, "", 'Production &amp; Circular'!B116 * (1 - 'Production &amp; Circular'!D116))</f>
        <v/>
      </c>
    </row>
    <row r="119" spans="2:9">
      <c r="B119" t="str">
        <f>IFERROR(VLOOKUP(A119, M_S3, 2, FALSE), "")</f>
        <v/>
      </c>
      <c r="D119" t="str">
        <f>IFERROR(VLOOKUP(A119, M_S3, 3, FALSE), "")</f>
        <v/>
      </c>
      <c r="I119" t="str">
        <f>IF('Production &amp; Circular'!B117=0, "", 'Production &amp; Circular'!B117 * (1 - 'Production &amp; Circular'!D117))</f>
        <v/>
      </c>
    </row>
    <row r="120" spans="2:9">
      <c r="B120" t="str">
        <f>IFERROR(VLOOKUP(A120, M_S3, 2, FALSE), "")</f>
        <v/>
      </c>
      <c r="D120" t="str">
        <f>IFERROR(VLOOKUP(A120, M_S3, 3, FALSE), "")</f>
        <v/>
      </c>
      <c r="I120" t="str">
        <f>IF('Production &amp; Circular'!B118=0, "", 'Production &amp; Circular'!B118 * (1 - 'Production &amp; Circular'!D118))</f>
        <v/>
      </c>
    </row>
    <row r="121" spans="2:9">
      <c r="B121" t="str">
        <f>IFERROR(VLOOKUP(A121, M_S3, 2, FALSE), "")</f>
        <v/>
      </c>
      <c r="D121" t="str">
        <f>IFERROR(VLOOKUP(A121, M_S3, 3, FALSE), "")</f>
        <v/>
      </c>
      <c r="I121" t="str">
        <f>IF('Production &amp; Circular'!B119=0, "", 'Production &amp; Circular'!B119 * (1 - 'Production &amp; Circular'!D119))</f>
        <v/>
      </c>
    </row>
    <row r="122" spans="2:9">
      <c r="B122" t="str">
        <f>IFERROR(VLOOKUP(A122, M_S3, 2, FALSE), "")</f>
        <v/>
      </c>
      <c r="D122" t="str">
        <f>IFERROR(VLOOKUP(A122, M_S3, 3, FALSE), "")</f>
        <v/>
      </c>
      <c r="I122" t="str">
        <f>IF('Production &amp; Circular'!B120=0, "", 'Production &amp; Circular'!B120 * (1 - 'Production &amp; Circular'!D120))</f>
        <v/>
      </c>
    </row>
    <row r="123" spans="2:9">
      <c r="B123" t="str">
        <f>IFERROR(VLOOKUP(A123, M_S3, 2, FALSE), "")</f>
        <v/>
      </c>
      <c r="D123" t="str">
        <f>IFERROR(VLOOKUP(A123, M_S3, 3, FALSE), "")</f>
        <v/>
      </c>
      <c r="I123" t="str">
        <f>IF('Production &amp; Circular'!B121=0, "", 'Production &amp; Circular'!B121 * (1 - 'Production &amp; Circular'!D121))</f>
        <v/>
      </c>
    </row>
    <row r="124" spans="2:9">
      <c r="B124" t="str">
        <f>IFERROR(VLOOKUP(A124, M_S3, 2, FALSE), "")</f>
        <v/>
      </c>
      <c r="D124" t="str">
        <f>IFERROR(VLOOKUP(A124, M_S3, 3, FALSE), "")</f>
        <v/>
      </c>
      <c r="I124" t="str">
        <f>IF('Production &amp; Circular'!B122=0, "", 'Production &amp; Circular'!B122 * (1 - 'Production &amp; Circular'!D122))</f>
        <v/>
      </c>
    </row>
    <row r="125" spans="2:9">
      <c r="B125" t="str">
        <f>IFERROR(VLOOKUP(A125, M_S3, 2, FALSE), "")</f>
        <v/>
      </c>
      <c r="D125" t="str">
        <f>IFERROR(VLOOKUP(A125, M_S3, 3, FALSE), "")</f>
        <v/>
      </c>
      <c r="I125" t="str">
        <f>IF('Production &amp; Circular'!B123=0, "", 'Production &amp; Circular'!B123 * (1 - 'Production &amp; Circular'!D123))</f>
        <v/>
      </c>
    </row>
    <row r="126" spans="2:9">
      <c r="B126" t="str">
        <f>IFERROR(VLOOKUP(A126, M_S3, 2, FALSE), "")</f>
        <v/>
      </c>
      <c r="D126" t="str">
        <f>IFERROR(VLOOKUP(A126, M_S3, 3, FALSE), "")</f>
        <v/>
      </c>
      <c r="I126" t="str">
        <f>IF('Production &amp; Circular'!B124=0, "", 'Production &amp; Circular'!B124 * (1 - 'Production &amp; Circular'!D124))</f>
        <v/>
      </c>
    </row>
    <row r="127" spans="2:9">
      <c r="B127" t="str">
        <f>IFERROR(VLOOKUP(A127, M_S3, 2, FALSE), "")</f>
        <v/>
      </c>
      <c r="D127" t="str">
        <f>IFERROR(VLOOKUP(A127, M_S3, 3, FALSE), "")</f>
        <v/>
      </c>
      <c r="I127" t="str">
        <f>IF('Production &amp; Circular'!B125=0, "", 'Production &amp; Circular'!B125 * (1 - 'Production &amp; Circular'!D125))</f>
        <v/>
      </c>
    </row>
    <row r="128" spans="2:9">
      <c r="B128" t="str">
        <f>IFERROR(VLOOKUP(A128, M_S3, 2, FALSE), "")</f>
        <v/>
      </c>
      <c r="D128" t="str">
        <f>IFERROR(VLOOKUP(A128, M_S3, 3, FALSE), "")</f>
        <v/>
      </c>
      <c r="I128" t="str">
        <f>IF('Production &amp; Circular'!B126=0, "", 'Production &amp; Circular'!B126 * (1 - 'Production &amp; Circular'!D126))</f>
        <v/>
      </c>
    </row>
    <row r="129" spans="2:9">
      <c r="B129" t="str">
        <f>IFERROR(VLOOKUP(A129, M_S3, 2, FALSE), "")</f>
        <v/>
      </c>
      <c r="D129" t="str">
        <f>IFERROR(VLOOKUP(A129, M_S3, 3, FALSE), "")</f>
        <v/>
      </c>
      <c r="I129" t="str">
        <f>IF('Production &amp; Circular'!B127=0, "", 'Production &amp; Circular'!B127 * (1 - 'Production &amp; Circular'!D127))</f>
        <v/>
      </c>
    </row>
    <row r="130" spans="2:9">
      <c r="B130" t="str">
        <f>IFERROR(VLOOKUP(A130, M_S3, 2, FALSE), "")</f>
        <v/>
      </c>
      <c r="D130" t="str">
        <f>IFERROR(VLOOKUP(A130, M_S3, 3, FALSE), "")</f>
        <v/>
      </c>
      <c r="I130" t="str">
        <f>IF('Production &amp; Circular'!B128=0, "", 'Production &amp; Circular'!B128 * (1 - 'Production &amp; Circular'!D128))</f>
        <v/>
      </c>
    </row>
    <row r="131" spans="2:9">
      <c r="B131" t="str">
        <f>IFERROR(VLOOKUP(A131, M_S3, 2, FALSE), "")</f>
        <v/>
      </c>
      <c r="D131" t="str">
        <f>IFERROR(VLOOKUP(A131, M_S3, 3, FALSE), "")</f>
        <v/>
      </c>
      <c r="I131" t="str">
        <f>IF('Production &amp; Circular'!B129=0, "", 'Production &amp; Circular'!B129 * (1 - 'Production &amp; Circular'!D129))</f>
        <v/>
      </c>
    </row>
    <row r="132" spans="2:9">
      <c r="B132" t="str">
        <f>IFERROR(VLOOKUP(A132, M_S3, 2, FALSE), "")</f>
        <v/>
      </c>
      <c r="D132" t="str">
        <f>IFERROR(VLOOKUP(A132, M_S3, 3, FALSE), "")</f>
        <v/>
      </c>
      <c r="I132" t="str">
        <f>IF('Production &amp; Circular'!B130=0, "", 'Production &amp; Circular'!B130 * (1 - 'Production &amp; Circular'!D130))</f>
        <v/>
      </c>
    </row>
    <row r="133" spans="2:9">
      <c r="B133" t="str">
        <f>IFERROR(VLOOKUP(A133, M_S3, 2, FALSE), "")</f>
        <v/>
      </c>
      <c r="D133" t="str">
        <f>IFERROR(VLOOKUP(A133, M_S3, 3, FALSE), "")</f>
        <v/>
      </c>
      <c r="I133" t="str">
        <f>IF('Production &amp; Circular'!B131=0, "", 'Production &amp; Circular'!B131 * (1 - 'Production &amp; Circular'!D131))</f>
        <v/>
      </c>
    </row>
    <row r="134" spans="2:9">
      <c r="B134" t="str">
        <f>IFERROR(VLOOKUP(A134, M_S3, 2, FALSE), "")</f>
        <v/>
      </c>
      <c r="D134" t="str">
        <f>IFERROR(VLOOKUP(A134, M_S3, 3, FALSE), "")</f>
        <v/>
      </c>
      <c r="I134" t="str">
        <f>IF('Production &amp; Circular'!B132=0, "", 'Production &amp; Circular'!B132 * (1 - 'Production &amp; Circular'!D132))</f>
        <v/>
      </c>
    </row>
    <row r="135" spans="2:9">
      <c r="B135" t="str">
        <f>IFERROR(VLOOKUP(A135, M_S3, 2, FALSE), "")</f>
        <v/>
      </c>
      <c r="D135" t="str">
        <f>IFERROR(VLOOKUP(A135, M_S3, 3, FALSE), "")</f>
        <v/>
      </c>
      <c r="I135" t="str">
        <f>IF('Production &amp; Circular'!B133=0, "", 'Production &amp; Circular'!B133 * (1 - 'Production &amp; Circular'!D133))</f>
        <v/>
      </c>
    </row>
    <row r="136" spans="2:9">
      <c r="B136" t="str">
        <f>IFERROR(VLOOKUP(A136, M_S3, 2, FALSE), "")</f>
        <v/>
      </c>
      <c r="D136" t="str">
        <f>IFERROR(VLOOKUP(A136, M_S3, 3, FALSE), "")</f>
        <v/>
      </c>
      <c r="I136" t="str">
        <f>IF('Production &amp; Circular'!B134=0, "", 'Production &amp; Circular'!B134 * (1 - 'Production &amp; Circular'!D134))</f>
        <v/>
      </c>
    </row>
    <row r="137" spans="2:9">
      <c r="B137" t="str">
        <f>IFERROR(VLOOKUP(A137, M_S3, 2, FALSE), "")</f>
        <v/>
      </c>
      <c r="D137" t="str">
        <f>IFERROR(VLOOKUP(A137, M_S3, 3, FALSE), "")</f>
        <v/>
      </c>
      <c r="I137" t="str">
        <f>IF('Production &amp; Circular'!B135=0, "", 'Production &amp; Circular'!B135 * (1 - 'Production &amp; Circular'!D135))</f>
        <v/>
      </c>
    </row>
    <row r="138" spans="2:9">
      <c r="B138" t="str">
        <f>IFERROR(VLOOKUP(A138, M_S3, 2, FALSE), "")</f>
        <v/>
      </c>
      <c r="D138" t="str">
        <f>IFERROR(VLOOKUP(A138, M_S3, 3, FALSE), "")</f>
        <v/>
      </c>
      <c r="I138" t="str">
        <f>IF('Production &amp; Circular'!B136=0, "", 'Production &amp; Circular'!B136 * (1 - 'Production &amp; Circular'!D136))</f>
        <v/>
      </c>
    </row>
    <row r="139" spans="2:9">
      <c r="B139" t="str">
        <f>IFERROR(VLOOKUP(A139, M_S3, 2, FALSE), "")</f>
        <v/>
      </c>
      <c r="D139" t="str">
        <f>IFERROR(VLOOKUP(A139, M_S3, 3, FALSE), "")</f>
        <v/>
      </c>
      <c r="I139" t="str">
        <f>IF('Production &amp; Circular'!B137=0, "", 'Production &amp; Circular'!B137 * (1 - 'Production &amp; Circular'!D137))</f>
        <v/>
      </c>
    </row>
    <row r="140" spans="2:9">
      <c r="B140" t="str">
        <f>IFERROR(VLOOKUP(A140, M_S3, 2, FALSE), "")</f>
        <v/>
      </c>
      <c r="D140" t="str">
        <f>IFERROR(VLOOKUP(A140, M_S3, 3, FALSE), "")</f>
        <v/>
      </c>
      <c r="I140" t="str">
        <f>IF('Production &amp; Circular'!B138=0, "", 'Production &amp; Circular'!B138 * (1 - 'Production &amp; Circular'!D138))</f>
        <v/>
      </c>
    </row>
    <row r="141" spans="2:9">
      <c r="B141" t="str">
        <f>IFERROR(VLOOKUP(A141, M_S3, 2, FALSE), "")</f>
        <v/>
      </c>
      <c r="D141" t="str">
        <f>IFERROR(VLOOKUP(A141, M_S3, 3, FALSE), "")</f>
        <v/>
      </c>
      <c r="I141" t="str">
        <f>IF('Production &amp; Circular'!B139=0, "", 'Production &amp; Circular'!B139 * (1 - 'Production &amp; Circular'!D139))</f>
        <v/>
      </c>
    </row>
    <row r="142" spans="2:9">
      <c r="B142" t="str">
        <f>IFERROR(VLOOKUP(A142, M_S3, 2, FALSE), "")</f>
        <v/>
      </c>
      <c r="D142" t="str">
        <f>IFERROR(VLOOKUP(A142, M_S3, 3, FALSE), "")</f>
        <v/>
      </c>
      <c r="I142" t="str">
        <f>IF('Production &amp; Circular'!B140=0, "", 'Production &amp; Circular'!B140 * (1 - 'Production &amp; Circular'!D140))</f>
        <v/>
      </c>
    </row>
    <row r="143" spans="2:9">
      <c r="B143" t="str">
        <f>IFERROR(VLOOKUP(A143, M_S3, 2, FALSE), "")</f>
        <v/>
      </c>
      <c r="D143" t="str">
        <f>IFERROR(VLOOKUP(A143, M_S3, 3, FALSE), "")</f>
        <v/>
      </c>
      <c r="I143" t="str">
        <f>IF('Production &amp; Circular'!B141=0, "", 'Production &amp; Circular'!B141 * (1 - 'Production &amp; Circular'!D141))</f>
        <v/>
      </c>
    </row>
    <row r="144" spans="2:9">
      <c r="B144" t="str">
        <f>IFERROR(VLOOKUP(A144, M_S3, 2, FALSE), "")</f>
        <v/>
      </c>
      <c r="D144" t="str">
        <f>IFERROR(VLOOKUP(A144, M_S3, 3, FALSE), "")</f>
        <v/>
      </c>
      <c r="I144" t="str">
        <f>IF('Production &amp; Circular'!B142=0, "", 'Production &amp; Circular'!B142 * (1 - 'Production &amp; Circular'!D142))</f>
        <v/>
      </c>
    </row>
    <row r="145" spans="2:9">
      <c r="B145" t="str">
        <f>IFERROR(VLOOKUP(A145, M_S3, 2, FALSE), "")</f>
        <v/>
      </c>
      <c r="D145" t="str">
        <f>IFERROR(VLOOKUP(A145, M_S3, 3, FALSE), "")</f>
        <v/>
      </c>
      <c r="I145" t="str">
        <f>IF('Production &amp; Circular'!B143=0, "", 'Production &amp; Circular'!B143 * (1 - 'Production &amp; Circular'!D143))</f>
        <v/>
      </c>
    </row>
    <row r="146" spans="2:9">
      <c r="B146" t="str">
        <f>IFERROR(VLOOKUP(A146, M_S3, 2, FALSE), "")</f>
        <v/>
      </c>
      <c r="D146" t="str">
        <f>IFERROR(VLOOKUP(A146, M_S3, 3, FALSE), "")</f>
        <v/>
      </c>
      <c r="I146" t="str">
        <f>IF('Production &amp; Circular'!B144=0, "", 'Production &amp; Circular'!B144 * (1 - 'Production &amp; Circular'!D144))</f>
        <v/>
      </c>
    </row>
    <row r="147" spans="2:9">
      <c r="B147" t="str">
        <f>IFERROR(VLOOKUP(A147, M_S3, 2, FALSE), "")</f>
        <v/>
      </c>
      <c r="D147" t="str">
        <f>IFERROR(VLOOKUP(A147, M_S3, 3, FALSE), "")</f>
        <v/>
      </c>
      <c r="I147" t="str">
        <f>IF('Production &amp; Circular'!B145=0, "", 'Production &amp; Circular'!B145 * (1 - 'Production &amp; Circular'!D145))</f>
        <v/>
      </c>
    </row>
    <row r="148" spans="2:9">
      <c r="B148" t="str">
        <f>IFERROR(VLOOKUP(A148, M_S3, 2, FALSE), "")</f>
        <v/>
      </c>
      <c r="D148" t="str">
        <f>IFERROR(VLOOKUP(A148, M_S3, 3, FALSE), "")</f>
        <v/>
      </c>
      <c r="I148" t="str">
        <f>IF('Production &amp; Circular'!B146=0, "", 'Production &amp; Circular'!B146 * (1 - 'Production &amp; Circular'!D146))</f>
        <v/>
      </c>
    </row>
    <row r="149" spans="2:9">
      <c r="B149" t="str">
        <f>IFERROR(VLOOKUP(A149, M_S3, 2, FALSE), "")</f>
        <v/>
      </c>
      <c r="D149" t="str">
        <f>IFERROR(VLOOKUP(A149, M_S3, 3, FALSE), "")</f>
        <v/>
      </c>
      <c r="I149" t="str">
        <f>IF('Production &amp; Circular'!B147=0, "", 'Production &amp; Circular'!B147 * (1 - 'Production &amp; Circular'!D147))</f>
        <v/>
      </c>
    </row>
    <row r="150" spans="2:9">
      <c r="B150" t="str">
        <f>IFERROR(VLOOKUP(A150, M_S3, 2, FALSE), "")</f>
        <v/>
      </c>
      <c r="D150" t="str">
        <f>IFERROR(VLOOKUP(A150, M_S3, 3, FALSE), "")</f>
        <v/>
      </c>
      <c r="I150" t="str">
        <f>IF('Production &amp; Circular'!B148=0, "", 'Production &amp; Circular'!B148 * (1 - 'Production &amp; Circular'!D148))</f>
        <v/>
      </c>
    </row>
    <row r="151" spans="2:9">
      <c r="B151" t="str">
        <f>IFERROR(VLOOKUP(A151, M_S3, 2, FALSE), "")</f>
        <v/>
      </c>
      <c r="D151" t="str">
        <f>IFERROR(VLOOKUP(A151, M_S3, 3, FALSE), "")</f>
        <v/>
      </c>
      <c r="I151" t="str">
        <f>IF('Production &amp; Circular'!B149=0, "", 'Production &amp; Circular'!B149 * (1 - 'Production &amp; Circular'!D149))</f>
        <v/>
      </c>
    </row>
    <row r="152" spans="2:9">
      <c r="B152" t="str">
        <f>IFERROR(VLOOKUP(A152, M_S3, 2, FALSE), "")</f>
        <v/>
      </c>
      <c r="D152" t="str">
        <f>IFERROR(VLOOKUP(A152, M_S3, 3, FALSE), "")</f>
        <v/>
      </c>
      <c r="I152" t="str">
        <f>IF('Production &amp; Circular'!B150=0, "", 'Production &amp; Circular'!B150 * (1 - 'Production &amp; Circular'!D150))</f>
        <v/>
      </c>
    </row>
    <row r="153" spans="2:9">
      <c r="B153" t="str">
        <f>IFERROR(VLOOKUP(A153, M_S3, 2, FALSE), "")</f>
        <v/>
      </c>
      <c r="D153" t="str">
        <f>IFERROR(VLOOKUP(A153, M_S3, 3, FALSE), "")</f>
        <v/>
      </c>
      <c r="I153" t="str">
        <f>IF('Production &amp; Circular'!B151=0, "", 'Production &amp; Circular'!B151 * (1 - 'Production &amp; Circular'!D151))</f>
        <v/>
      </c>
    </row>
    <row r="154" spans="2:9">
      <c r="B154" t="str">
        <f>IFERROR(VLOOKUP(A154, M_S3, 2, FALSE), "")</f>
        <v/>
      </c>
      <c r="D154" t="str">
        <f>IFERROR(VLOOKUP(A154, M_S3, 3, FALSE), "")</f>
        <v/>
      </c>
      <c r="I154" t="str">
        <f>IF('Production &amp; Circular'!B152=0, "", 'Production &amp; Circular'!B152 * (1 - 'Production &amp; Circular'!D152))</f>
        <v/>
      </c>
    </row>
    <row r="155" spans="2:9">
      <c r="B155" t="str">
        <f>IFERROR(VLOOKUP(A155, M_S3, 2, FALSE), "")</f>
        <v/>
      </c>
      <c r="D155" t="str">
        <f>IFERROR(VLOOKUP(A155, M_S3, 3, FALSE), "")</f>
        <v/>
      </c>
      <c r="I155" t="str">
        <f>IF('Production &amp; Circular'!B153=0, "", 'Production &amp; Circular'!B153 * (1 - 'Production &amp; Circular'!D153))</f>
        <v/>
      </c>
    </row>
    <row r="156" spans="2:9">
      <c r="B156" t="str">
        <f>IFERROR(VLOOKUP(A156, M_S3, 2, FALSE), "")</f>
        <v/>
      </c>
      <c r="D156" t="str">
        <f>IFERROR(VLOOKUP(A156, M_S3, 3, FALSE), "")</f>
        <v/>
      </c>
      <c r="I156" t="str">
        <f>IF('Production &amp; Circular'!B154=0, "", 'Production &amp; Circular'!B154 * (1 - 'Production &amp; Circular'!D154))</f>
        <v/>
      </c>
    </row>
    <row r="157" spans="2:9">
      <c r="B157" t="str">
        <f>IFERROR(VLOOKUP(A157, M_S3, 2, FALSE), "")</f>
        <v/>
      </c>
      <c r="D157" t="str">
        <f>IFERROR(VLOOKUP(A157, M_S3, 3, FALSE), "")</f>
        <v/>
      </c>
      <c r="I157" t="str">
        <f>IF('Production &amp; Circular'!B155=0, "", 'Production &amp; Circular'!B155 * (1 - 'Production &amp; Circular'!D155))</f>
        <v/>
      </c>
    </row>
    <row r="158" spans="2:9">
      <c r="B158" t="str">
        <f>IFERROR(VLOOKUP(A158, M_S3, 2, FALSE), "")</f>
        <v/>
      </c>
      <c r="D158" t="str">
        <f>IFERROR(VLOOKUP(A158, M_S3, 3, FALSE), "")</f>
        <v/>
      </c>
      <c r="I158" t="str">
        <f>IF('Production &amp; Circular'!B156=0, "", 'Production &amp; Circular'!B156 * (1 - 'Production &amp; Circular'!D156))</f>
        <v/>
      </c>
    </row>
    <row r="159" spans="2:9">
      <c r="B159" t="str">
        <f>IFERROR(VLOOKUP(A159, M_S3, 2, FALSE), "")</f>
        <v/>
      </c>
      <c r="D159" t="str">
        <f>IFERROR(VLOOKUP(A159, M_S3, 3, FALSE), "")</f>
        <v/>
      </c>
      <c r="I159" t="str">
        <f>IF('Production &amp; Circular'!B157=0, "", 'Production &amp; Circular'!B157 * (1 - 'Production &amp; Circular'!D157))</f>
        <v/>
      </c>
    </row>
    <row r="160" spans="2:9">
      <c r="B160" t="str">
        <f>IFERROR(VLOOKUP(A160, M_S3, 2, FALSE), "")</f>
        <v/>
      </c>
      <c r="D160" t="str">
        <f>IFERROR(VLOOKUP(A160, M_S3, 3, FALSE), "")</f>
        <v/>
      </c>
      <c r="I160" t="str">
        <f>IF('Production &amp; Circular'!B158=0, "", 'Production &amp; Circular'!B158 * (1 - 'Production &amp; Circular'!D158))</f>
        <v/>
      </c>
    </row>
    <row r="161" spans="2:9">
      <c r="B161" t="str">
        <f>IFERROR(VLOOKUP(A161, M_S3, 2, FALSE), "")</f>
        <v/>
      </c>
      <c r="D161" t="str">
        <f>IFERROR(VLOOKUP(A161, M_S3, 3, FALSE), "")</f>
        <v/>
      </c>
      <c r="I161" t="str">
        <f>IF('Production &amp; Circular'!B159=0, "", 'Production &amp; Circular'!B159 * (1 - 'Production &amp; Circular'!D159))</f>
        <v/>
      </c>
    </row>
    <row r="162" spans="2:9">
      <c r="B162" t="str">
        <f>IFERROR(VLOOKUP(A162, M_S3, 2, FALSE), "")</f>
        <v/>
      </c>
      <c r="D162" t="str">
        <f>IFERROR(VLOOKUP(A162, M_S3, 3, FALSE), "")</f>
        <v/>
      </c>
      <c r="I162" t="str">
        <f>IF('Production &amp; Circular'!B160=0, "", 'Production &amp; Circular'!B160 * (1 - 'Production &amp; Circular'!D160))</f>
        <v/>
      </c>
    </row>
    <row r="163" spans="2:9">
      <c r="B163" t="str">
        <f>IFERROR(VLOOKUP(A163, M_S3, 2, FALSE), "")</f>
        <v/>
      </c>
      <c r="D163" t="str">
        <f>IFERROR(VLOOKUP(A163, M_S3, 3, FALSE), "")</f>
        <v/>
      </c>
      <c r="I163" t="str">
        <f>IF('Production &amp; Circular'!B161=0, "", 'Production &amp; Circular'!B161 * (1 - 'Production &amp; Circular'!D161))</f>
        <v/>
      </c>
    </row>
    <row r="164" spans="2:9">
      <c r="B164" t="str">
        <f>IFERROR(VLOOKUP(A164, M_S3, 2, FALSE), "")</f>
        <v/>
      </c>
      <c r="D164" t="str">
        <f>IFERROR(VLOOKUP(A164, M_S3, 3, FALSE), "")</f>
        <v/>
      </c>
      <c r="I164" t="str">
        <f>IF('Production &amp; Circular'!B162=0, "", 'Production &amp; Circular'!B162 * (1 - 'Production &amp; Circular'!D162))</f>
        <v/>
      </c>
    </row>
    <row r="165" spans="2:9">
      <c r="B165" t="str">
        <f>IFERROR(VLOOKUP(A165, M_S3, 2, FALSE), "")</f>
        <v/>
      </c>
      <c r="D165" t="str">
        <f>IFERROR(VLOOKUP(A165, M_S3, 3, FALSE), "")</f>
        <v/>
      </c>
      <c r="I165" t="str">
        <f>IF('Production &amp; Circular'!B163=0, "", 'Production &amp; Circular'!B163 * (1 - 'Production &amp; Circular'!D163))</f>
        <v/>
      </c>
    </row>
    <row r="166" spans="2:9">
      <c r="B166" t="str">
        <f>IFERROR(VLOOKUP(A166, M_S3, 2, FALSE), "")</f>
        <v/>
      </c>
      <c r="D166" t="str">
        <f>IFERROR(VLOOKUP(A166, M_S3, 3, FALSE), "")</f>
        <v/>
      </c>
      <c r="I166" t="str">
        <f>IF('Production &amp; Circular'!B164=0, "", 'Production &amp; Circular'!B164 * (1 - 'Production &amp; Circular'!D164))</f>
        <v/>
      </c>
    </row>
    <row r="167" spans="2:9">
      <c r="B167" t="str">
        <f>IFERROR(VLOOKUP(A167, M_S3, 2, FALSE), "")</f>
        <v/>
      </c>
      <c r="D167" t="str">
        <f>IFERROR(VLOOKUP(A167, M_S3, 3, FALSE), "")</f>
        <v/>
      </c>
      <c r="I167" t="str">
        <f>IF('Production &amp; Circular'!B165=0, "", 'Production &amp; Circular'!B165 * (1 - 'Production &amp; Circular'!D165))</f>
        <v/>
      </c>
    </row>
    <row r="168" spans="2:9">
      <c r="B168" t="str">
        <f>IFERROR(VLOOKUP(A168, M_S3, 2, FALSE), "")</f>
        <v/>
      </c>
      <c r="D168" t="str">
        <f>IFERROR(VLOOKUP(A168, M_S3, 3, FALSE), "")</f>
        <v/>
      </c>
      <c r="I168" t="str">
        <f>IF('Production &amp; Circular'!B166=0, "", 'Production &amp; Circular'!B166 * (1 - 'Production &amp; Circular'!D166))</f>
        <v/>
      </c>
    </row>
    <row r="169" spans="2:9">
      <c r="B169" t="str">
        <f>IFERROR(VLOOKUP(A169, M_S3, 2, FALSE), "")</f>
        <v/>
      </c>
      <c r="D169" t="str">
        <f>IFERROR(VLOOKUP(A169, M_S3, 3, FALSE), "")</f>
        <v/>
      </c>
      <c r="I169" t="str">
        <f>IF('Production &amp; Circular'!B167=0, "", 'Production &amp; Circular'!B167 * (1 - 'Production &amp; Circular'!D167))</f>
        <v/>
      </c>
    </row>
    <row r="170" spans="2:9">
      <c r="B170" t="str">
        <f>IFERROR(VLOOKUP(A170, M_S3, 2, FALSE), "")</f>
        <v/>
      </c>
      <c r="D170" t="str">
        <f>IFERROR(VLOOKUP(A170, M_S3, 3, FALSE), "")</f>
        <v/>
      </c>
      <c r="I170" t="str">
        <f>IF('Production &amp; Circular'!B168=0, "", 'Production &amp; Circular'!B168 * (1 - 'Production &amp; Circular'!D168))</f>
        <v/>
      </c>
    </row>
    <row r="171" spans="2:9">
      <c r="B171" t="str">
        <f>IFERROR(VLOOKUP(A171, M_S3, 2, FALSE), "")</f>
        <v/>
      </c>
      <c r="D171" t="str">
        <f>IFERROR(VLOOKUP(A171, M_S3, 3, FALSE), "")</f>
        <v/>
      </c>
      <c r="I171" t="str">
        <f>IF('Production &amp; Circular'!B169=0, "", 'Production &amp; Circular'!B169 * (1 - 'Production &amp; Circular'!D169))</f>
        <v/>
      </c>
    </row>
    <row r="172" spans="2:9">
      <c r="B172" t="str">
        <f>IFERROR(VLOOKUP(A172, M_S3, 2, FALSE), "")</f>
        <v/>
      </c>
      <c r="D172" t="str">
        <f>IFERROR(VLOOKUP(A172, M_S3, 3, FALSE), "")</f>
        <v/>
      </c>
      <c r="I172" t="str">
        <f>IF('Production &amp; Circular'!B170=0, "", 'Production &amp; Circular'!B170 * (1 - 'Production &amp; Circular'!D170))</f>
        <v/>
      </c>
    </row>
    <row r="173" spans="2:9">
      <c r="B173" t="str">
        <f>IFERROR(VLOOKUP(A173, M_S3, 2, FALSE), "")</f>
        <v/>
      </c>
      <c r="D173" t="str">
        <f>IFERROR(VLOOKUP(A173, M_S3, 3, FALSE), "")</f>
        <v/>
      </c>
      <c r="I173" t="str">
        <f>IF('Production &amp; Circular'!B171=0, "", 'Production &amp; Circular'!B171 * (1 - 'Production &amp; Circular'!D171))</f>
        <v/>
      </c>
    </row>
    <row r="174" spans="2:9">
      <c r="B174" t="str">
        <f>IFERROR(VLOOKUP(A174, M_S3, 2, FALSE), "")</f>
        <v/>
      </c>
      <c r="D174" t="str">
        <f>IFERROR(VLOOKUP(A174, M_S3, 3, FALSE), "")</f>
        <v/>
      </c>
      <c r="I174" t="str">
        <f>IF('Production &amp; Circular'!B172=0, "", 'Production &amp; Circular'!B172 * (1 - 'Production &amp; Circular'!D172))</f>
        <v/>
      </c>
    </row>
    <row r="175" spans="2:9">
      <c r="B175" t="str">
        <f>IFERROR(VLOOKUP(A175, M_S3, 2, FALSE), "")</f>
        <v/>
      </c>
      <c r="D175" t="str">
        <f>IFERROR(VLOOKUP(A175, M_S3, 3, FALSE), "")</f>
        <v/>
      </c>
      <c r="I175" t="str">
        <f>IF('Production &amp; Circular'!B173=0, "", 'Production &amp; Circular'!B173 * (1 - 'Production &amp; Circular'!D173))</f>
        <v/>
      </c>
    </row>
    <row r="176" spans="2:9">
      <c r="B176" t="str">
        <f>IFERROR(VLOOKUP(A176, M_S3, 2, FALSE), "")</f>
        <v/>
      </c>
      <c r="D176" t="str">
        <f>IFERROR(VLOOKUP(A176, M_S3, 3, FALSE), "")</f>
        <v/>
      </c>
      <c r="I176" t="str">
        <f>IF('Production &amp; Circular'!B174=0, "", 'Production &amp; Circular'!B174 * (1 - 'Production &amp; Circular'!D174))</f>
        <v/>
      </c>
    </row>
    <row r="177" spans="2:9">
      <c r="B177" t="str">
        <f>IFERROR(VLOOKUP(A177, M_S3, 2, FALSE), "")</f>
        <v/>
      </c>
      <c r="D177" t="str">
        <f>IFERROR(VLOOKUP(A177, M_S3, 3, FALSE), "")</f>
        <v/>
      </c>
      <c r="I177" t="str">
        <f>IF('Production &amp; Circular'!B175=0, "", 'Production &amp; Circular'!B175 * (1 - 'Production &amp; Circular'!D175))</f>
        <v/>
      </c>
    </row>
    <row r="178" spans="2:9">
      <c r="B178" t="str">
        <f>IFERROR(VLOOKUP(A178, M_S3, 2, FALSE), "")</f>
        <v/>
      </c>
      <c r="D178" t="str">
        <f>IFERROR(VLOOKUP(A178, M_S3, 3, FALSE), "")</f>
        <v/>
      </c>
      <c r="I178" t="str">
        <f>IF('Production &amp; Circular'!B176=0, "", 'Production &amp; Circular'!B176 * (1 - 'Production &amp; Circular'!D176))</f>
        <v/>
      </c>
    </row>
    <row r="179" spans="2:9">
      <c r="B179" t="str">
        <f>IFERROR(VLOOKUP(A179, M_S3, 2, FALSE), "")</f>
        <v/>
      </c>
      <c r="D179" t="str">
        <f>IFERROR(VLOOKUP(A179, M_S3, 3, FALSE), "")</f>
        <v/>
      </c>
      <c r="I179" t="str">
        <f>IF('Production &amp; Circular'!B177=0, "", 'Production &amp; Circular'!B177 * (1 - 'Production &amp; Circular'!D177))</f>
        <v/>
      </c>
    </row>
    <row r="180" spans="2:9">
      <c r="B180" t="str">
        <f>IFERROR(VLOOKUP(A180, M_S3, 2, FALSE), "")</f>
        <v/>
      </c>
      <c r="D180" t="str">
        <f>IFERROR(VLOOKUP(A180, M_S3, 3, FALSE), "")</f>
        <v/>
      </c>
      <c r="I180" t="str">
        <f>IF('Production &amp; Circular'!B178=0, "", 'Production &amp; Circular'!B178 * (1 - 'Production &amp; Circular'!D178))</f>
        <v/>
      </c>
    </row>
    <row r="181" spans="2:9">
      <c r="B181" t="str">
        <f>IFERROR(VLOOKUP(A181, M_S3, 2, FALSE), "")</f>
        <v/>
      </c>
      <c r="D181" t="str">
        <f>IFERROR(VLOOKUP(A181, M_S3, 3, FALSE), "")</f>
        <v/>
      </c>
      <c r="I181" t="str">
        <f>IF('Production &amp; Circular'!B179=0, "", 'Production &amp; Circular'!B179 * (1 - 'Production &amp; Circular'!D179))</f>
        <v/>
      </c>
    </row>
    <row r="182" spans="2:9">
      <c r="B182" t="str">
        <f>IFERROR(VLOOKUP(A182, M_S3, 2, FALSE), "")</f>
        <v/>
      </c>
      <c r="D182" t="str">
        <f>IFERROR(VLOOKUP(A182, M_S3, 3, FALSE), "")</f>
        <v/>
      </c>
      <c r="I182" t="str">
        <f>IF('Production &amp; Circular'!B180=0, "", 'Production &amp; Circular'!B180 * (1 - 'Production &amp; Circular'!D180))</f>
        <v/>
      </c>
    </row>
    <row r="183" spans="2:9">
      <c r="B183" t="str">
        <f>IFERROR(VLOOKUP(A183, M_S3, 2, FALSE), "")</f>
        <v/>
      </c>
      <c r="D183" t="str">
        <f>IFERROR(VLOOKUP(A183, M_S3, 3, FALSE), "")</f>
        <v/>
      </c>
      <c r="I183" t="str">
        <f>IF('Production &amp; Circular'!B181=0, "", 'Production &amp; Circular'!B181 * (1 - 'Production &amp; Circular'!D181))</f>
        <v/>
      </c>
    </row>
    <row r="184" spans="2:9">
      <c r="B184" t="str">
        <f>IFERROR(VLOOKUP(A184, M_S3, 2, FALSE), "")</f>
        <v/>
      </c>
      <c r="D184" t="str">
        <f>IFERROR(VLOOKUP(A184, M_S3, 3, FALSE), "")</f>
        <v/>
      </c>
      <c r="I184" t="str">
        <f>IF('Production &amp; Circular'!B182=0, "", 'Production &amp; Circular'!B182 * (1 - 'Production &amp; Circular'!D182))</f>
        <v/>
      </c>
    </row>
    <row r="185" spans="2:9">
      <c r="B185" t="str">
        <f>IFERROR(VLOOKUP(A185, M_S3, 2, FALSE), "")</f>
        <v/>
      </c>
      <c r="D185" t="str">
        <f>IFERROR(VLOOKUP(A185, M_S3, 3, FALSE), "")</f>
        <v/>
      </c>
      <c r="I185" t="str">
        <f>IF('Production &amp; Circular'!B183=0, "", 'Production &amp; Circular'!B183 * (1 - 'Production &amp; Circular'!D183))</f>
        <v/>
      </c>
    </row>
    <row r="186" spans="2:9">
      <c r="B186" t="str">
        <f>IFERROR(VLOOKUP(A186, M_S3, 2, FALSE), "")</f>
        <v/>
      </c>
      <c r="D186" t="str">
        <f>IFERROR(VLOOKUP(A186, M_S3, 3, FALSE), "")</f>
        <v/>
      </c>
      <c r="I186" t="str">
        <f>IF('Production &amp; Circular'!B184=0, "", 'Production &amp; Circular'!B184 * (1 - 'Production &amp; Circular'!D184))</f>
        <v/>
      </c>
    </row>
    <row r="187" spans="2:9">
      <c r="B187" t="str">
        <f>IFERROR(VLOOKUP(A187, M_S3, 2, FALSE), "")</f>
        <v/>
      </c>
      <c r="D187" t="str">
        <f>IFERROR(VLOOKUP(A187, M_S3, 3, FALSE), "")</f>
        <v/>
      </c>
      <c r="I187" t="str">
        <f>IF('Production &amp; Circular'!B185=0, "", 'Production &amp; Circular'!B185 * (1 - 'Production &amp; Circular'!D185))</f>
        <v/>
      </c>
    </row>
    <row r="188" spans="2:9">
      <c r="B188" t="str">
        <f>IFERROR(VLOOKUP(A188, M_S3, 2, FALSE), "")</f>
        <v/>
      </c>
      <c r="D188" t="str">
        <f>IFERROR(VLOOKUP(A188, M_S3, 3, FALSE), "")</f>
        <v/>
      </c>
      <c r="I188" t="str">
        <f>IF('Production &amp; Circular'!B186=0, "", 'Production &amp; Circular'!B186 * (1 - 'Production &amp; Circular'!D186))</f>
        <v/>
      </c>
    </row>
    <row r="189" spans="2:9">
      <c r="B189" t="str">
        <f>IFERROR(VLOOKUP(A189, M_S3, 2, FALSE), "")</f>
        <v/>
      </c>
      <c r="D189" t="str">
        <f>IFERROR(VLOOKUP(A189, M_S3, 3, FALSE), "")</f>
        <v/>
      </c>
      <c r="I189" t="str">
        <f>IF('Production &amp; Circular'!B187=0, "", 'Production &amp; Circular'!B187 * (1 - 'Production &amp; Circular'!D187))</f>
        <v/>
      </c>
    </row>
    <row r="190" spans="2:9">
      <c r="B190" t="str">
        <f>IFERROR(VLOOKUP(A190, M_S3, 2, FALSE), "")</f>
        <v/>
      </c>
      <c r="D190" t="str">
        <f>IFERROR(VLOOKUP(A190, M_S3, 3, FALSE), "")</f>
        <v/>
      </c>
      <c r="I190" t="str">
        <f>IF('Production &amp; Circular'!B188=0, "", 'Production &amp; Circular'!B188 * (1 - 'Production &amp; Circular'!D188))</f>
        <v/>
      </c>
    </row>
    <row r="191" spans="2:9">
      <c r="B191" t="str">
        <f>IFERROR(VLOOKUP(A191, M_S3, 2, FALSE), "")</f>
        <v/>
      </c>
      <c r="D191" t="str">
        <f>IFERROR(VLOOKUP(A191, M_S3, 3, FALSE), "")</f>
        <v/>
      </c>
      <c r="I191" t="str">
        <f>IF('Production &amp; Circular'!B189=0, "", 'Production &amp; Circular'!B189 * (1 - 'Production &amp; Circular'!D189))</f>
        <v/>
      </c>
    </row>
    <row r="192" spans="2:9">
      <c r="B192" t="str">
        <f>IFERROR(VLOOKUP(A192, M_S3, 2, FALSE), "")</f>
        <v/>
      </c>
      <c r="D192" t="str">
        <f>IFERROR(VLOOKUP(A192, M_S3, 3, FALSE), "")</f>
        <v/>
      </c>
      <c r="I192" t="str">
        <f>IF('Production &amp; Circular'!B190=0, "", 'Production &amp; Circular'!B190 * (1 - 'Production &amp; Circular'!D190))</f>
        <v/>
      </c>
    </row>
    <row r="193" spans="2:9">
      <c r="B193" t="str">
        <f>IFERROR(VLOOKUP(A193, M_S3, 2, FALSE), "")</f>
        <v/>
      </c>
      <c r="D193" t="str">
        <f>IFERROR(VLOOKUP(A193, M_S3, 3, FALSE), "")</f>
        <v/>
      </c>
      <c r="I193" t="str">
        <f>IF('Production &amp; Circular'!B191=0, "", 'Production &amp; Circular'!B191 * (1 - 'Production &amp; Circular'!D191))</f>
        <v/>
      </c>
    </row>
    <row r="194" spans="2:9">
      <c r="B194" t="str">
        <f>IFERROR(VLOOKUP(A194, M_S3, 2, FALSE), "")</f>
        <v/>
      </c>
      <c r="D194" t="str">
        <f>IFERROR(VLOOKUP(A194, M_S3, 3, FALSE), "")</f>
        <v/>
      </c>
      <c r="I194" t="str">
        <f>IF('Production &amp; Circular'!B192=0, "", 'Production &amp; Circular'!B192 * (1 - 'Production &amp; Circular'!D192))</f>
        <v/>
      </c>
    </row>
    <row r="195" spans="2:9">
      <c r="B195" t="str">
        <f>IFERROR(VLOOKUP(A195, M_S3, 2, FALSE), "")</f>
        <v/>
      </c>
      <c r="D195" t="str">
        <f>IFERROR(VLOOKUP(A195, M_S3, 3, FALSE), "")</f>
        <v/>
      </c>
      <c r="I195" t="str">
        <f>IF('Production &amp; Circular'!B193=0, "", 'Production &amp; Circular'!B193 * (1 - 'Production &amp; Circular'!D193))</f>
        <v/>
      </c>
    </row>
    <row r="196" spans="2:9">
      <c r="B196" t="str">
        <f>IFERROR(VLOOKUP(A196, M_S3, 2, FALSE), "")</f>
        <v/>
      </c>
      <c r="D196" t="str">
        <f>IFERROR(VLOOKUP(A196, M_S3, 3, FALSE), "")</f>
        <v/>
      </c>
      <c r="I196" t="str">
        <f>IF('Production &amp; Circular'!B194=0, "", 'Production &amp; Circular'!B194 * (1 - 'Production &amp; Circular'!D194))</f>
        <v/>
      </c>
    </row>
    <row r="197" spans="2:9">
      <c r="B197" t="str">
        <f>IFERROR(VLOOKUP(A197, M_S3, 2, FALSE), "")</f>
        <v/>
      </c>
      <c r="D197" t="str">
        <f>IFERROR(VLOOKUP(A197, M_S3, 3, FALSE), "")</f>
        <v/>
      </c>
      <c r="I197" t="str">
        <f>IF('Production &amp; Circular'!B195=0, "", 'Production &amp; Circular'!B195 * (1 - 'Production &amp; Circular'!D195))</f>
        <v/>
      </c>
    </row>
    <row r="198" spans="2:9">
      <c r="B198" t="str">
        <f>IFERROR(VLOOKUP(A198, M_S3, 2, FALSE), "")</f>
        <v/>
      </c>
      <c r="D198" t="str">
        <f>IFERROR(VLOOKUP(A198, M_S3, 3, FALSE), "")</f>
        <v/>
      </c>
      <c r="I198" t="str">
        <f>IF('Production &amp; Circular'!B196=0, "", 'Production &amp; Circular'!B196 * (1 - 'Production &amp; Circular'!D196))</f>
        <v/>
      </c>
    </row>
    <row r="199" spans="2:9">
      <c r="B199" t="str">
        <f>IFERROR(VLOOKUP(A199, M_S3, 2, FALSE), "")</f>
        <v/>
      </c>
      <c r="D199" t="str">
        <f>IFERROR(VLOOKUP(A199, M_S3, 3, FALSE), "")</f>
        <v/>
      </c>
      <c r="I199" t="str">
        <f>IF('Production &amp; Circular'!B197=0, "", 'Production &amp; Circular'!B197 * (1 - 'Production &amp; Circular'!D197))</f>
        <v/>
      </c>
    </row>
    <row r="200" spans="2:9">
      <c r="B200" t="str">
        <f>IFERROR(VLOOKUP(A200, M_S3, 2, FALSE), "")</f>
        <v/>
      </c>
      <c r="D200" t="str">
        <f>IFERROR(VLOOKUP(A200, M_S3, 3, FALSE), "")</f>
        <v/>
      </c>
      <c r="I200" t="str">
        <f>IF('Production &amp; Circular'!B198=0, "", 'Production &amp; Circular'!B198 * (1 - 'Production &amp; Circular'!D198))</f>
        <v/>
      </c>
    </row>
    <row r="201" spans="2:9">
      <c r="B201" t="str">
        <f>IFERROR(VLOOKUP(A201, M_S3, 2, FALSE), "")</f>
        <v/>
      </c>
      <c r="D201" t="str">
        <f>IFERROR(VLOOKUP(A201, M_S3, 3, FALSE), "")</f>
        <v/>
      </c>
      <c r="I201" t="str">
        <f>IF('Production &amp; Circular'!B199=0, "", 'Production &amp; Circular'!B199 * (1 - 'Production &amp; Circular'!D199))</f>
        <v/>
      </c>
    </row>
    <row r="202" spans="2:9">
      <c r="B202" t="str">
        <f>IFERROR(VLOOKUP(A202, M_S3, 2, FALSE), "")</f>
        <v/>
      </c>
      <c r="D202" t="str">
        <f>IFERROR(VLOOKUP(A202, M_S3, 3, FALSE), "")</f>
        <v/>
      </c>
      <c r="I202" t="str">
        <f>IF('Production &amp; Circular'!B200=0, "", 'Production &amp; Circular'!B200 * (1 - 'Production &amp; Circular'!D200))</f>
        <v/>
      </c>
    </row>
    <row r="203" spans="2:9">
      <c r="B203" t="str">
        <f>IFERROR(VLOOKUP(A203, M_S3, 2, FALSE), "")</f>
        <v/>
      </c>
      <c r="D203" t="str">
        <f>IFERROR(VLOOKUP(A203, M_S3, 3, FALSE), "")</f>
        <v/>
      </c>
      <c r="I203" t="str">
        <f>IF('Production &amp; Circular'!B201=0, "", 'Production &amp; Circular'!B201 * (1 - 'Production &amp; Circular'!D201))</f>
        <v/>
      </c>
    </row>
    <row r="204" spans="2:9">
      <c r="B204" t="str">
        <f>IFERROR(VLOOKUP(A204, M_S3, 2, FALSE), "")</f>
        <v/>
      </c>
      <c r="D204" t="str">
        <f>IFERROR(VLOOKUP(A204, M_S3, 3, FALSE), "")</f>
        <v/>
      </c>
      <c r="I204" t="str">
        <f>IF('Production &amp; Circular'!B202=0, "", 'Production &amp; Circular'!B202 * (1 - 'Production &amp; Circular'!D202))</f>
        <v/>
      </c>
    </row>
    <row r="205" spans="2:9">
      <c r="B205" t="str">
        <f>IFERROR(VLOOKUP(A205, M_S3, 2, FALSE), "")</f>
        <v/>
      </c>
      <c r="D205" t="str">
        <f>IFERROR(VLOOKUP(A205, M_S3, 3, FALSE), "")</f>
        <v/>
      </c>
      <c r="I205" t="str">
        <f>IF('Production &amp; Circular'!B203=0, "", 'Production &amp; Circular'!B203 * (1 - 'Production &amp; Circular'!D203))</f>
        <v/>
      </c>
    </row>
    <row r="206" spans="2:9">
      <c r="B206" t="str">
        <f>IFERROR(VLOOKUP(A206, M_S3, 2, FALSE), "")</f>
        <v/>
      </c>
      <c r="D206" t="str">
        <f>IFERROR(VLOOKUP(A206, M_S3, 3, FALSE), "")</f>
        <v/>
      </c>
      <c r="I206" t="str">
        <f>IF('Production &amp; Circular'!B204=0, "", 'Production &amp; Circular'!B204 * (1 - 'Production &amp; Circular'!D204))</f>
        <v/>
      </c>
    </row>
    <row r="207" spans="2:9">
      <c r="B207" t="str">
        <f>IFERROR(VLOOKUP(A207, M_S3, 2, FALSE), "")</f>
        <v/>
      </c>
      <c r="D207" t="str">
        <f>IFERROR(VLOOKUP(A207, M_S3, 3, FALSE), "")</f>
        <v/>
      </c>
      <c r="I207" t="str">
        <f>IF('Production &amp; Circular'!B205=0, "", 'Production &amp; Circular'!B205 * (1 - 'Production &amp; Circular'!D205))</f>
        <v/>
      </c>
    </row>
    <row r="208" spans="2:9">
      <c r="B208" t="str">
        <f>IFERROR(VLOOKUP(A208, M_S3, 2, FALSE), "")</f>
        <v/>
      </c>
      <c r="D208" t="str">
        <f>IFERROR(VLOOKUP(A208, M_S3, 3, FALSE), "")</f>
        <v/>
      </c>
      <c r="I208" t="str">
        <f>IF('Production &amp; Circular'!B206=0, "", 'Production &amp; Circular'!B206 * (1 - 'Production &amp; Circular'!D206))</f>
        <v/>
      </c>
    </row>
    <row r="209" spans="2:9">
      <c r="B209" t="str">
        <f>IFERROR(VLOOKUP(A209, M_S3, 2, FALSE), "")</f>
        <v/>
      </c>
      <c r="D209" t="str">
        <f>IFERROR(VLOOKUP(A209, M_S3, 3, FALSE), "")</f>
        <v/>
      </c>
      <c r="I209" t="str">
        <f>IF('Production &amp; Circular'!B207=0, "", 'Production &amp; Circular'!B207 * (1 - 'Production &amp; Circular'!D207))</f>
        <v/>
      </c>
    </row>
    <row r="210" spans="2:9">
      <c r="B210" t="str">
        <f>IFERROR(VLOOKUP(A210, M_S3, 2, FALSE), "")</f>
        <v/>
      </c>
      <c r="D210" t="str">
        <f>IFERROR(VLOOKUP(A210, M_S3, 3, FALSE), "")</f>
        <v/>
      </c>
      <c r="I210" t="str">
        <f>IF('Production &amp; Circular'!B208=0, "", 'Production &amp; Circular'!B208 * (1 - 'Production &amp; Circular'!D208))</f>
        <v/>
      </c>
    </row>
    <row r="211" spans="2:9">
      <c r="B211" t="str">
        <f>IFERROR(VLOOKUP(A211, M_S3, 2, FALSE), "")</f>
        <v/>
      </c>
      <c r="D211" t="str">
        <f>IFERROR(VLOOKUP(A211, M_S3, 3, FALSE), "")</f>
        <v/>
      </c>
      <c r="I211" t="str">
        <f>IF('Production &amp; Circular'!B209=0, "", 'Production &amp; Circular'!B209 * (1 - 'Production &amp; Circular'!D209))</f>
        <v/>
      </c>
    </row>
    <row r="212" spans="2:9">
      <c r="B212" t="str">
        <f>IFERROR(VLOOKUP(A212, M_S3, 2, FALSE), "")</f>
        <v/>
      </c>
      <c r="D212" t="str">
        <f>IFERROR(VLOOKUP(A212, M_S3, 3, FALSE), "")</f>
        <v/>
      </c>
      <c r="I212" t="str">
        <f>IF('Production &amp; Circular'!B210=0, "", 'Production &amp; Circular'!B210 * (1 - 'Production &amp; Circular'!D210))</f>
        <v/>
      </c>
    </row>
    <row r="213" spans="2:9">
      <c r="B213" t="str">
        <f>IFERROR(VLOOKUP(A213, M_S3, 2, FALSE), "")</f>
        <v/>
      </c>
      <c r="D213" t="str">
        <f>IFERROR(VLOOKUP(A213, M_S3, 3, FALSE), "")</f>
        <v/>
      </c>
      <c r="I213" t="str">
        <f>IF('Production &amp; Circular'!B211=0, "", 'Production &amp; Circular'!B211 * (1 - 'Production &amp; Circular'!D211))</f>
        <v/>
      </c>
    </row>
    <row r="214" spans="2:9">
      <c r="B214" t="str">
        <f>IFERROR(VLOOKUP(A214, M_S3, 2, FALSE), "")</f>
        <v/>
      </c>
      <c r="D214" t="str">
        <f>IFERROR(VLOOKUP(A214, M_S3, 3, FALSE), "")</f>
        <v/>
      </c>
      <c r="I214" t="str">
        <f>IF('Production &amp; Circular'!B212=0, "", 'Production &amp; Circular'!B212 * (1 - 'Production &amp; Circular'!D212))</f>
        <v/>
      </c>
    </row>
    <row r="215" spans="2:9">
      <c r="B215" t="str">
        <f>IFERROR(VLOOKUP(A215, M_S3, 2, FALSE), "")</f>
        <v/>
      </c>
      <c r="D215" t="str">
        <f>IFERROR(VLOOKUP(A215, M_S3, 3, FALSE), "")</f>
        <v/>
      </c>
      <c r="I215" t="str">
        <f>IF('Production &amp; Circular'!B213=0, "", 'Production &amp; Circular'!B213 * (1 - 'Production &amp; Circular'!D213))</f>
        <v/>
      </c>
    </row>
    <row r="216" spans="2:9">
      <c r="B216" t="str">
        <f>IFERROR(VLOOKUP(A216, M_S3, 2, FALSE), "")</f>
        <v/>
      </c>
      <c r="D216" t="str">
        <f>IFERROR(VLOOKUP(A216, M_S3, 3, FALSE), "")</f>
        <v/>
      </c>
      <c r="I216" t="str">
        <f>IF('Production &amp; Circular'!B214=0, "", 'Production &amp; Circular'!B214 * (1 - 'Production &amp; Circular'!D214))</f>
        <v/>
      </c>
    </row>
    <row r="217" spans="2:9">
      <c r="B217" t="str">
        <f>IFERROR(VLOOKUP(A217, M_S3, 2, FALSE), "")</f>
        <v/>
      </c>
      <c r="D217" t="str">
        <f>IFERROR(VLOOKUP(A217, M_S3, 3, FALSE), "")</f>
        <v/>
      </c>
      <c r="I217" t="str">
        <f>IF('Production &amp; Circular'!B215=0, "", 'Production &amp; Circular'!B215 * (1 - 'Production &amp; Circular'!D215))</f>
        <v/>
      </c>
    </row>
    <row r="218" spans="2:9">
      <c r="B218" t="str">
        <f>IFERROR(VLOOKUP(A218, M_S3, 2, FALSE), "")</f>
        <v/>
      </c>
      <c r="D218" t="str">
        <f>IFERROR(VLOOKUP(A218, M_S3, 3, FALSE), "")</f>
        <v/>
      </c>
      <c r="I218" t="str">
        <f>IF('Production &amp; Circular'!B216=0, "", 'Production &amp; Circular'!B216 * (1 - 'Production &amp; Circular'!D216))</f>
        <v/>
      </c>
    </row>
    <row r="219" spans="2:9">
      <c r="B219" t="str">
        <f>IFERROR(VLOOKUP(A219, M_S3, 2, FALSE), "")</f>
        <v/>
      </c>
      <c r="D219" t="str">
        <f>IFERROR(VLOOKUP(A219, M_S3, 3, FALSE), "")</f>
        <v/>
      </c>
      <c r="I219" t="str">
        <f>IF('Production &amp; Circular'!B217=0, "", 'Production &amp; Circular'!B217 * (1 - 'Production &amp; Circular'!D217))</f>
        <v/>
      </c>
    </row>
    <row r="220" spans="2:9">
      <c r="B220" t="str">
        <f>IFERROR(VLOOKUP(A220, M_S3, 2, FALSE), "")</f>
        <v/>
      </c>
      <c r="D220" t="str">
        <f>IFERROR(VLOOKUP(A220, M_S3, 3, FALSE), "")</f>
        <v/>
      </c>
      <c r="I220" t="str">
        <f>IF('Production &amp; Circular'!B218=0, "", 'Production &amp; Circular'!B218 * (1 - 'Production &amp; Circular'!D218))</f>
        <v/>
      </c>
    </row>
    <row r="221" spans="2:9">
      <c r="B221" t="str">
        <f>IFERROR(VLOOKUP(A221, M_S3, 2, FALSE), "")</f>
        <v/>
      </c>
      <c r="D221" t="str">
        <f>IFERROR(VLOOKUP(A221, M_S3, 3, FALSE), "")</f>
        <v/>
      </c>
      <c r="I221" t="str">
        <f>IF('Production &amp; Circular'!B219=0, "", 'Production &amp; Circular'!B219 * (1 - 'Production &amp; Circular'!D219))</f>
        <v/>
      </c>
    </row>
    <row r="222" spans="2:9">
      <c r="B222" t="str">
        <f>IFERROR(VLOOKUP(A222, M_S3, 2, FALSE), "")</f>
        <v/>
      </c>
      <c r="D222" t="str">
        <f>IFERROR(VLOOKUP(A222, M_S3, 3, FALSE), "")</f>
        <v/>
      </c>
      <c r="I222" t="str">
        <f>IF('Production &amp; Circular'!B220=0, "", 'Production &amp; Circular'!B220 * (1 - 'Production &amp; Circular'!D220))</f>
        <v/>
      </c>
    </row>
    <row r="223" spans="2:9">
      <c r="B223" t="str">
        <f>IFERROR(VLOOKUP(A223, M_S3, 2, FALSE), "")</f>
        <v/>
      </c>
      <c r="D223" t="str">
        <f>IFERROR(VLOOKUP(A223, M_S3, 3, FALSE), "")</f>
        <v/>
      </c>
      <c r="I223" t="str">
        <f>IF('Production &amp; Circular'!B221=0, "", 'Production &amp; Circular'!B221 * (1 - 'Production &amp; Circular'!D221))</f>
        <v/>
      </c>
    </row>
    <row r="224" spans="2:9">
      <c r="B224" t="str">
        <f>IFERROR(VLOOKUP(A224, M_S3, 2, FALSE), "")</f>
        <v/>
      </c>
      <c r="D224" t="str">
        <f>IFERROR(VLOOKUP(A224, M_S3, 3, FALSE), "")</f>
        <v/>
      </c>
      <c r="I224" t="str">
        <f>IF('Production &amp; Circular'!B222=0, "", 'Production &amp; Circular'!B222 * (1 - 'Production &amp; Circular'!D222))</f>
        <v/>
      </c>
    </row>
    <row r="225" spans="2:9">
      <c r="B225" t="str">
        <f>IFERROR(VLOOKUP(A225, M_S3, 2, FALSE), "")</f>
        <v/>
      </c>
      <c r="D225" t="str">
        <f>IFERROR(VLOOKUP(A225, M_S3, 3, FALSE), "")</f>
        <v/>
      </c>
      <c r="I225" t="str">
        <f>IF('Production &amp; Circular'!B223=0, "", 'Production &amp; Circular'!B223 * (1 - 'Production &amp; Circular'!D223))</f>
        <v/>
      </c>
    </row>
    <row r="226" spans="2:9">
      <c r="B226" t="str">
        <f>IFERROR(VLOOKUP(A226, M_S3, 2, FALSE), "")</f>
        <v/>
      </c>
      <c r="D226" t="str">
        <f>IFERROR(VLOOKUP(A226, M_S3, 3, FALSE), "")</f>
        <v/>
      </c>
      <c r="I226" t="str">
        <f>IF('Production &amp; Circular'!B224=0, "", 'Production &amp; Circular'!B224 * (1 - 'Production &amp; Circular'!D224))</f>
        <v/>
      </c>
    </row>
    <row r="227" spans="2:9">
      <c r="B227" t="str">
        <f>IFERROR(VLOOKUP(A227, M_S3, 2, FALSE), "")</f>
        <v/>
      </c>
      <c r="D227" t="str">
        <f>IFERROR(VLOOKUP(A227, M_S3, 3, FALSE), "")</f>
        <v/>
      </c>
      <c r="I227" t="str">
        <f>IF('Production &amp; Circular'!B225=0, "", 'Production &amp; Circular'!B225 * (1 - 'Production &amp; Circular'!D225))</f>
        <v/>
      </c>
    </row>
    <row r="228" spans="2:9">
      <c r="B228" t="str">
        <f>IFERROR(VLOOKUP(A228, M_S3, 2, FALSE), "")</f>
        <v/>
      </c>
      <c r="D228" t="str">
        <f>IFERROR(VLOOKUP(A228, M_S3, 3, FALSE), "")</f>
        <v/>
      </c>
      <c r="I228" t="str">
        <f>IF('Production &amp; Circular'!B226=0, "", 'Production &amp; Circular'!B226 * (1 - 'Production &amp; Circular'!D226))</f>
        <v/>
      </c>
    </row>
    <row r="229" spans="2:9">
      <c r="B229" t="str">
        <f>IFERROR(VLOOKUP(A229, M_S3, 2, FALSE), "")</f>
        <v/>
      </c>
      <c r="D229" t="str">
        <f>IFERROR(VLOOKUP(A229, M_S3, 3, FALSE), "")</f>
        <v/>
      </c>
      <c r="I229" t="str">
        <f>IF('Production &amp; Circular'!B227=0, "", 'Production &amp; Circular'!B227 * (1 - 'Production &amp; Circular'!D227))</f>
        <v/>
      </c>
    </row>
    <row r="230" spans="2:9">
      <c r="B230" t="str">
        <f>IFERROR(VLOOKUP(A230, M_S3, 2, FALSE), "")</f>
        <v/>
      </c>
      <c r="D230" t="str">
        <f>IFERROR(VLOOKUP(A230, M_S3, 3, FALSE), "")</f>
        <v/>
      </c>
      <c r="I230" t="str">
        <f>IF('Production &amp; Circular'!B228=0, "", 'Production &amp; Circular'!B228 * (1 - 'Production &amp; Circular'!D228))</f>
        <v/>
      </c>
    </row>
    <row r="231" spans="2:9">
      <c r="B231" t="str">
        <f>IFERROR(VLOOKUP(A231, M_S3, 2, FALSE), "")</f>
        <v/>
      </c>
      <c r="D231" t="str">
        <f>IFERROR(VLOOKUP(A231, M_S3, 3, FALSE), "")</f>
        <v/>
      </c>
      <c r="I231" t="str">
        <f>IF('Production &amp; Circular'!B229=0, "", 'Production &amp; Circular'!B229 * (1 - 'Production &amp; Circular'!D229))</f>
        <v/>
      </c>
    </row>
    <row r="232" spans="2:9">
      <c r="B232" t="str">
        <f>IFERROR(VLOOKUP(A232, M_S3, 2, FALSE), "")</f>
        <v/>
      </c>
      <c r="D232" t="str">
        <f>IFERROR(VLOOKUP(A232, M_S3, 3, FALSE), "")</f>
        <v/>
      </c>
      <c r="I232" t="str">
        <f>IF('Production &amp; Circular'!B230=0, "", 'Production &amp; Circular'!B230 * (1 - 'Production &amp; Circular'!D230))</f>
        <v/>
      </c>
    </row>
    <row r="233" spans="2:9">
      <c r="B233" t="str">
        <f>IFERROR(VLOOKUP(A233, M_S3, 2, FALSE), "")</f>
        <v/>
      </c>
      <c r="D233" t="str">
        <f>IFERROR(VLOOKUP(A233, M_S3, 3, FALSE), "")</f>
        <v/>
      </c>
      <c r="I233" t="str">
        <f>IF('Production &amp; Circular'!B231=0, "", 'Production &amp; Circular'!B231 * (1 - 'Production &amp; Circular'!D231))</f>
        <v/>
      </c>
    </row>
    <row r="234" spans="2:9">
      <c r="B234" t="str">
        <f>IFERROR(VLOOKUP(A234, M_S3, 2, FALSE), "")</f>
        <v/>
      </c>
      <c r="D234" t="str">
        <f>IFERROR(VLOOKUP(A234, M_S3, 3, FALSE), "")</f>
        <v/>
      </c>
      <c r="I234" t="str">
        <f>IF('Production &amp; Circular'!B232=0, "", 'Production &amp; Circular'!B232 * (1 - 'Production &amp; Circular'!D232))</f>
        <v/>
      </c>
    </row>
    <row r="235" spans="2:9">
      <c r="B235" t="str">
        <f>IFERROR(VLOOKUP(A235, M_S3, 2, FALSE), "")</f>
        <v/>
      </c>
      <c r="D235" t="str">
        <f>IFERROR(VLOOKUP(A235, M_S3, 3, FALSE), "")</f>
        <v/>
      </c>
      <c r="I235" t="str">
        <f>IF('Production &amp; Circular'!B233=0, "", 'Production &amp; Circular'!B233 * (1 - 'Production &amp; Circular'!D233))</f>
        <v/>
      </c>
    </row>
    <row r="236" spans="2:9">
      <c r="B236" t="str">
        <f>IFERROR(VLOOKUP(A236, M_S3, 2, FALSE), "")</f>
        <v/>
      </c>
      <c r="D236" t="str">
        <f>IFERROR(VLOOKUP(A236, M_S3, 3, FALSE), "")</f>
        <v/>
      </c>
      <c r="I236" t="str">
        <f>IF('Production &amp; Circular'!B234=0, "", 'Production &amp; Circular'!B234 * (1 - 'Production &amp; Circular'!D234))</f>
        <v/>
      </c>
    </row>
    <row r="237" spans="2:9">
      <c r="B237" t="str">
        <f>IFERROR(VLOOKUP(A237, M_S3, 2, FALSE), "")</f>
        <v/>
      </c>
      <c r="D237" t="str">
        <f>IFERROR(VLOOKUP(A237, M_S3, 3, FALSE), "")</f>
        <v/>
      </c>
      <c r="I237" t="str">
        <f>IF('Production &amp; Circular'!B235=0, "", 'Production &amp; Circular'!B235 * (1 - 'Production &amp; Circular'!D235))</f>
        <v/>
      </c>
    </row>
    <row r="238" spans="2:9">
      <c r="B238" t="str">
        <f>IFERROR(VLOOKUP(A238, M_S3, 2, FALSE), "")</f>
        <v/>
      </c>
      <c r="D238" t="str">
        <f>IFERROR(VLOOKUP(A238, M_S3, 3, FALSE), "")</f>
        <v/>
      </c>
      <c r="I238" t="str">
        <f>IF('Production &amp; Circular'!B236=0, "", 'Production &amp; Circular'!B236 * (1 - 'Production &amp; Circular'!D236))</f>
        <v/>
      </c>
    </row>
    <row r="239" spans="2:9">
      <c r="B239" t="str">
        <f>IFERROR(VLOOKUP(A239, M_S3, 2, FALSE), "")</f>
        <v/>
      </c>
      <c r="D239" t="str">
        <f>IFERROR(VLOOKUP(A239, M_S3, 3, FALSE), "")</f>
        <v/>
      </c>
      <c r="I239" t="str">
        <f>IF('Production &amp; Circular'!B237=0, "", 'Production &amp; Circular'!B237 * (1 - 'Production &amp; Circular'!D237))</f>
        <v/>
      </c>
    </row>
    <row r="240" spans="2:9">
      <c r="B240" t="str">
        <f>IFERROR(VLOOKUP(A240, M_S3, 2, FALSE), "")</f>
        <v/>
      </c>
      <c r="D240" t="str">
        <f>IFERROR(VLOOKUP(A240, M_S3, 3, FALSE), "")</f>
        <v/>
      </c>
      <c r="I240" t="str">
        <f>IF('Production &amp; Circular'!B238=0, "", 'Production &amp; Circular'!B238 * (1 - 'Production &amp; Circular'!D238))</f>
        <v/>
      </c>
    </row>
    <row r="241" spans="2:9">
      <c r="B241" t="str">
        <f>IFERROR(VLOOKUP(A241, M_S3, 2, FALSE), "")</f>
        <v/>
      </c>
      <c r="D241" t="str">
        <f>IFERROR(VLOOKUP(A241, M_S3, 3, FALSE), "")</f>
        <v/>
      </c>
      <c r="I241" t="str">
        <f>IF('Production &amp; Circular'!B239=0, "", 'Production &amp; Circular'!B239 * (1 - 'Production &amp; Circular'!D239))</f>
        <v/>
      </c>
    </row>
    <row r="242" spans="2:9">
      <c r="B242" t="str">
        <f>IFERROR(VLOOKUP(A242, M_S3, 2, FALSE), "")</f>
        <v/>
      </c>
      <c r="D242" t="str">
        <f>IFERROR(VLOOKUP(A242, M_S3, 3, FALSE), "")</f>
        <v/>
      </c>
      <c r="I242" t="str">
        <f>IF('Production &amp; Circular'!B240=0, "", 'Production &amp; Circular'!B240 * (1 - 'Production &amp; Circular'!D240))</f>
        <v/>
      </c>
    </row>
    <row r="243" spans="2:9">
      <c r="B243" t="str">
        <f>IFERROR(VLOOKUP(A243, M_S3, 2, FALSE), "")</f>
        <v/>
      </c>
      <c r="D243" t="str">
        <f>IFERROR(VLOOKUP(A243, M_S3, 3, FALSE), "")</f>
        <v/>
      </c>
      <c r="I243" t="str">
        <f>IF('Production &amp; Circular'!B241=0, "", 'Production &amp; Circular'!B241 * (1 - 'Production &amp; Circular'!D241))</f>
        <v/>
      </c>
    </row>
    <row r="244" spans="2:9">
      <c r="B244" t="str">
        <f>IFERROR(VLOOKUP(A244, M_S3, 2, FALSE), "")</f>
        <v/>
      </c>
      <c r="D244" t="str">
        <f>IFERROR(VLOOKUP(A244, M_S3, 3, FALSE), "")</f>
        <v/>
      </c>
      <c r="I244" t="str">
        <f>IF('Production &amp; Circular'!B242=0, "", 'Production &amp; Circular'!B242 * (1 - 'Production &amp; Circular'!D242))</f>
        <v/>
      </c>
    </row>
    <row r="245" spans="2:9">
      <c r="B245" t="str">
        <f>IFERROR(VLOOKUP(A245, M_S3, 2, FALSE), "")</f>
        <v/>
      </c>
      <c r="D245" t="str">
        <f>IFERROR(VLOOKUP(A245, M_S3, 3, FALSE), "")</f>
        <v/>
      </c>
      <c r="I245" t="str">
        <f>IF('Production &amp; Circular'!B243=0, "", 'Production &amp; Circular'!B243 * (1 - 'Production &amp; Circular'!D243))</f>
        <v/>
      </c>
    </row>
    <row r="246" spans="2:9">
      <c r="B246" t="str">
        <f>IFERROR(VLOOKUP(A246, M_S3, 2, FALSE), "")</f>
        <v/>
      </c>
      <c r="D246" t="str">
        <f>IFERROR(VLOOKUP(A246, M_S3, 3, FALSE), "")</f>
        <v/>
      </c>
      <c r="I246" t="str">
        <f>IF('Production &amp; Circular'!B244=0, "", 'Production &amp; Circular'!B244 * (1 - 'Production &amp; Circular'!D244))</f>
        <v/>
      </c>
    </row>
    <row r="247" spans="2:9">
      <c r="B247" t="str">
        <f>IFERROR(VLOOKUP(A247, M_S3, 2, FALSE), "")</f>
        <v/>
      </c>
      <c r="D247" t="str">
        <f>IFERROR(VLOOKUP(A247, M_S3, 3, FALSE), "")</f>
        <v/>
      </c>
      <c r="I247" t="str">
        <f>IF('Production &amp; Circular'!B245=0, "", 'Production &amp; Circular'!B245 * (1 - 'Production &amp; Circular'!D245))</f>
        <v/>
      </c>
    </row>
    <row r="248" spans="2:9">
      <c r="B248" t="str">
        <f>IFERROR(VLOOKUP(A248, M_S3, 2, FALSE), "")</f>
        <v/>
      </c>
      <c r="D248" t="str">
        <f>IFERROR(VLOOKUP(A248, M_S3, 3, FALSE), "")</f>
        <v/>
      </c>
      <c r="I248" t="str">
        <f>IF('Production &amp; Circular'!B246=0, "", 'Production &amp; Circular'!B246 * (1 - 'Production &amp; Circular'!D246))</f>
        <v/>
      </c>
    </row>
    <row r="249" spans="2:9">
      <c r="B249" t="str">
        <f>IFERROR(VLOOKUP(A249, M_S3, 2, FALSE), "")</f>
        <v/>
      </c>
      <c r="D249" t="str">
        <f>IFERROR(VLOOKUP(A249, M_S3, 3, FALSE), "")</f>
        <v/>
      </c>
      <c r="I249" t="str">
        <f>IF('Production &amp; Circular'!B247=0, "", 'Production &amp; Circular'!B247 * (1 - 'Production &amp; Circular'!D247))</f>
        <v/>
      </c>
    </row>
    <row r="250" spans="2:9">
      <c r="B250" t="str">
        <f>IFERROR(VLOOKUP(A250, M_S3, 2, FALSE), "")</f>
        <v/>
      </c>
      <c r="D250" t="str">
        <f>IFERROR(VLOOKUP(A250, M_S3, 3, FALSE), "")</f>
        <v/>
      </c>
      <c r="I250" t="str">
        <f>IF('Production &amp; Circular'!B248=0, "", 'Production &amp; Circular'!B248 * (1 - 'Production &amp; Circular'!D248))</f>
        <v/>
      </c>
    </row>
    <row r="251" spans="2:9">
      <c r="B251" t="str">
        <f>IFERROR(VLOOKUP(A251, M_S3, 2, FALSE), "")</f>
        <v/>
      </c>
      <c r="D251" t="str">
        <f>IFERROR(VLOOKUP(A251, M_S3, 3, FALSE), "")</f>
        <v/>
      </c>
      <c r="I251" t="str">
        <f>IF('Production &amp; Circular'!B249=0, "", 'Production &amp; Circular'!B249 * (1 - 'Production &amp; Circular'!D249))</f>
        <v/>
      </c>
    </row>
    <row r="252" spans="2:9">
      <c r="B252" t="str">
        <f>IFERROR(VLOOKUP(A252, M_S3, 2, FALSE), "")</f>
        <v/>
      </c>
      <c r="D252" t="str">
        <f>IFERROR(VLOOKUP(A252, M_S3, 3, FALSE), "")</f>
        <v/>
      </c>
      <c r="I252" t="str">
        <f>IF('Production &amp; Circular'!B250=0, "", 'Production &amp; Circular'!B250 * (1 - 'Production &amp; Circular'!D250))</f>
        <v/>
      </c>
    </row>
    <row r="253" spans="2:9">
      <c r="B253" t="str">
        <f>IFERROR(VLOOKUP(A253, M_S3, 2, FALSE), "")</f>
        <v/>
      </c>
      <c r="D253" t="str">
        <f>IFERROR(VLOOKUP(A253, M_S3, 3, FALSE), "")</f>
        <v/>
      </c>
      <c r="I253" t="str">
        <f>IF('Production &amp; Circular'!B251=0, "", 'Production &amp; Circular'!B251 * (1 - 'Production &amp; Circular'!D251))</f>
        <v/>
      </c>
    </row>
    <row r="254" spans="2:9">
      <c r="B254" t="str">
        <f>IFERROR(VLOOKUP(A254, M_S3, 2, FALSE), "")</f>
        <v/>
      </c>
      <c r="D254" t="str">
        <f>IFERROR(VLOOKUP(A254, M_S3, 3, FALSE), "")</f>
        <v/>
      </c>
      <c r="I254" t="str">
        <f>IF('Production &amp; Circular'!B252=0, "", 'Production &amp; Circular'!B252 * (1 - 'Production &amp; Circular'!D252))</f>
        <v/>
      </c>
    </row>
    <row r="255" spans="2:9">
      <c r="B255" t="str">
        <f>IFERROR(VLOOKUP(A255, M_S3, 2, FALSE), "")</f>
        <v/>
      </c>
      <c r="D255" t="str">
        <f>IFERROR(VLOOKUP(A255, M_S3, 3, FALSE), "")</f>
        <v/>
      </c>
      <c r="I255" t="str">
        <f>IF('Production &amp; Circular'!B253=0, "", 'Production &amp; Circular'!B253 * (1 - 'Production &amp; Circular'!D253))</f>
        <v/>
      </c>
    </row>
    <row r="256" spans="2:9">
      <c r="B256" t="str">
        <f>IFERROR(VLOOKUP(A256, M_S3, 2, FALSE), "")</f>
        <v/>
      </c>
      <c r="D256" t="str">
        <f>IFERROR(VLOOKUP(A256, M_S3, 3, FALSE), "")</f>
        <v/>
      </c>
      <c r="I256" t="str">
        <f>IF('Production &amp; Circular'!B254=0, "", 'Production &amp; Circular'!B254 * (1 - 'Production &amp; Circular'!D254))</f>
        <v/>
      </c>
    </row>
    <row r="257" spans="2:9">
      <c r="B257" t="str">
        <f>IFERROR(VLOOKUP(A257, M_S3, 2, FALSE), "")</f>
        <v/>
      </c>
      <c r="D257" t="str">
        <f>IFERROR(VLOOKUP(A257, M_S3, 3, FALSE), "")</f>
        <v/>
      </c>
      <c r="I257" t="str">
        <f>IF('Production &amp; Circular'!B255=0, "", 'Production &amp; Circular'!B255 * (1 - 'Production &amp; Circular'!D255))</f>
        <v/>
      </c>
    </row>
    <row r="258" spans="2:9">
      <c r="B258" t="str">
        <f>IFERROR(VLOOKUP(A258, M_S3, 2, FALSE), "")</f>
        <v/>
      </c>
      <c r="D258" t="str">
        <f>IFERROR(VLOOKUP(A258, M_S3, 3, FALSE), "")</f>
        <v/>
      </c>
      <c r="I258" t="str">
        <f>IF('Production &amp; Circular'!B256=0, "", 'Production &amp; Circular'!B256 * (1 - 'Production &amp; Circular'!D256))</f>
        <v/>
      </c>
    </row>
    <row r="259" spans="2:9">
      <c r="B259" t="str">
        <f>IFERROR(VLOOKUP(A259, M_S3, 2, FALSE), "")</f>
        <v/>
      </c>
      <c r="D259" t="str">
        <f>IFERROR(VLOOKUP(A259, M_S3, 3, FALSE), "")</f>
        <v/>
      </c>
      <c r="I259" t="str">
        <f>IF('Production &amp; Circular'!B257=0, "", 'Production &amp; Circular'!B257 * (1 - 'Production &amp; Circular'!D257))</f>
        <v/>
      </c>
    </row>
    <row r="260" spans="2:9">
      <c r="B260" t="str">
        <f>IFERROR(VLOOKUP(A260, M_S3, 2, FALSE), "")</f>
        <v/>
      </c>
      <c r="D260" t="str">
        <f>IFERROR(VLOOKUP(A260, M_S3, 3, FALSE), "")</f>
        <v/>
      </c>
      <c r="I260" t="str">
        <f>IF('Production &amp; Circular'!B258=0, "", 'Production &amp; Circular'!B258 * (1 - 'Production &amp; Circular'!D258))</f>
        <v/>
      </c>
    </row>
    <row r="261" spans="2:9">
      <c r="B261" t="str">
        <f>IFERROR(VLOOKUP(A261, M_S3, 2, FALSE), "")</f>
        <v/>
      </c>
      <c r="D261" t="str">
        <f>IFERROR(VLOOKUP(A261, M_S3, 3, FALSE), "")</f>
        <v/>
      </c>
      <c r="I261" t="str">
        <f>IF('Production &amp; Circular'!B259=0, "", 'Production &amp; Circular'!B259 * (1 - 'Production &amp; Circular'!D259))</f>
        <v/>
      </c>
    </row>
    <row r="262" spans="2:9">
      <c r="B262" t="str">
        <f>IFERROR(VLOOKUP(A262, M_S3, 2, FALSE), "")</f>
        <v/>
      </c>
      <c r="D262" t="str">
        <f>IFERROR(VLOOKUP(A262, M_S3, 3, FALSE), "")</f>
        <v/>
      </c>
      <c r="I262" t="str">
        <f>IF('Production &amp; Circular'!B260=0, "", 'Production &amp; Circular'!B260 * (1 - 'Production &amp; Circular'!D260))</f>
        <v/>
      </c>
    </row>
    <row r="263" spans="2:9">
      <c r="B263" t="str">
        <f>IFERROR(VLOOKUP(A263, M_S3, 2, FALSE), "")</f>
        <v/>
      </c>
      <c r="D263" t="str">
        <f>IFERROR(VLOOKUP(A263, M_S3, 3, FALSE), "")</f>
        <v/>
      </c>
      <c r="I263" t="str">
        <f>IF('Production &amp; Circular'!B261=0, "", 'Production &amp; Circular'!B261 * (1 - 'Production &amp; Circular'!D261))</f>
        <v/>
      </c>
    </row>
    <row r="264" spans="2:9">
      <c r="B264" t="str">
        <f>IFERROR(VLOOKUP(A264, M_S3, 2, FALSE), "")</f>
        <v/>
      </c>
      <c r="D264" t="str">
        <f>IFERROR(VLOOKUP(A264, M_S3, 3, FALSE), "")</f>
        <v/>
      </c>
      <c r="I264" t="str">
        <f>IF('Production &amp; Circular'!B262=0, "", 'Production &amp; Circular'!B262 * (1 - 'Production &amp; Circular'!D262))</f>
        <v/>
      </c>
    </row>
    <row r="265" spans="2:9">
      <c r="B265" t="str">
        <f>IFERROR(VLOOKUP(A265, M_S3, 2, FALSE), "")</f>
        <v/>
      </c>
      <c r="D265" t="str">
        <f>IFERROR(VLOOKUP(A265, M_S3, 3, FALSE), "")</f>
        <v/>
      </c>
      <c r="I265" t="str">
        <f>IF('Production &amp; Circular'!B263=0, "", 'Production &amp; Circular'!B263 * (1 - 'Production &amp; Circular'!D263))</f>
        <v/>
      </c>
    </row>
    <row r="266" spans="2:9">
      <c r="B266" t="str">
        <f>IFERROR(VLOOKUP(A266, M_S3, 2, FALSE), "")</f>
        <v/>
      </c>
      <c r="D266" t="str">
        <f>IFERROR(VLOOKUP(A266, M_S3, 3, FALSE), "")</f>
        <v/>
      </c>
      <c r="I266" t="str">
        <f>IF('Production &amp; Circular'!B264=0, "", 'Production &amp; Circular'!B264 * (1 - 'Production &amp; Circular'!D264))</f>
        <v/>
      </c>
    </row>
    <row r="267" spans="2:9">
      <c r="B267" t="str">
        <f>IFERROR(VLOOKUP(A267, M_S3, 2, FALSE), "")</f>
        <v/>
      </c>
      <c r="D267" t="str">
        <f>IFERROR(VLOOKUP(A267, M_S3, 3, FALSE), "")</f>
        <v/>
      </c>
      <c r="I267" t="str">
        <f>IF('Production &amp; Circular'!B265=0, "", 'Production &amp; Circular'!B265 * (1 - 'Production &amp; Circular'!D265))</f>
        <v/>
      </c>
    </row>
    <row r="268" spans="2:9">
      <c r="B268" t="str">
        <f>IFERROR(VLOOKUP(A268, M_S3, 2, FALSE), "")</f>
        <v/>
      </c>
      <c r="D268" t="str">
        <f>IFERROR(VLOOKUP(A268, M_S3, 3, FALSE), "")</f>
        <v/>
      </c>
      <c r="I268" t="str">
        <f>IF('Production &amp; Circular'!B266=0, "", 'Production &amp; Circular'!B266 * (1 - 'Production &amp; Circular'!D266))</f>
        <v/>
      </c>
    </row>
    <row r="269" spans="2:9">
      <c r="B269" t="str">
        <f>IFERROR(VLOOKUP(A269, M_S3, 2, FALSE), "")</f>
        <v/>
      </c>
      <c r="D269" t="str">
        <f>IFERROR(VLOOKUP(A269, M_S3, 3, FALSE), "")</f>
        <v/>
      </c>
      <c r="I269" t="str">
        <f>IF('Production &amp; Circular'!B267=0, "", 'Production &amp; Circular'!B267 * (1 - 'Production &amp; Circular'!D267))</f>
        <v/>
      </c>
    </row>
    <row r="270" spans="2:9">
      <c r="B270" t="str">
        <f>IFERROR(VLOOKUP(A270, M_S3, 2, FALSE), "")</f>
        <v/>
      </c>
      <c r="D270" t="str">
        <f>IFERROR(VLOOKUP(A270, M_S3, 3, FALSE), "")</f>
        <v/>
      </c>
      <c r="I270" t="str">
        <f>IF('Production &amp; Circular'!B268=0, "", 'Production &amp; Circular'!B268 * (1 - 'Production &amp; Circular'!D268))</f>
        <v/>
      </c>
    </row>
    <row r="271" spans="2:9">
      <c r="B271" t="str">
        <f>IFERROR(VLOOKUP(A271, M_S3, 2, FALSE), "")</f>
        <v/>
      </c>
      <c r="D271" t="str">
        <f>IFERROR(VLOOKUP(A271, M_S3, 3, FALSE), "")</f>
        <v/>
      </c>
      <c r="I271" t="str">
        <f>IF('Production &amp; Circular'!B269=0, "", 'Production &amp; Circular'!B269 * (1 - 'Production &amp; Circular'!D269))</f>
        <v/>
      </c>
    </row>
    <row r="272" spans="2:9">
      <c r="B272" t="str">
        <f>IFERROR(VLOOKUP(A272, M_S3, 2, FALSE), "")</f>
        <v/>
      </c>
      <c r="D272" t="str">
        <f>IFERROR(VLOOKUP(A272, M_S3, 3, FALSE), "")</f>
        <v/>
      </c>
      <c r="I272" t="str">
        <f>IF('Production &amp; Circular'!B270=0, "", 'Production &amp; Circular'!B270 * (1 - 'Production &amp; Circular'!D270))</f>
        <v/>
      </c>
    </row>
    <row r="273" spans="2:9">
      <c r="B273" t="str">
        <f>IFERROR(VLOOKUP(A273, M_S3, 2, FALSE), "")</f>
        <v/>
      </c>
      <c r="D273" t="str">
        <f>IFERROR(VLOOKUP(A273, M_S3, 3, FALSE), "")</f>
        <v/>
      </c>
      <c r="I273" t="str">
        <f>IF('Production &amp; Circular'!B271=0, "", 'Production &amp; Circular'!B271 * (1 - 'Production &amp; Circular'!D271))</f>
        <v/>
      </c>
    </row>
    <row r="274" spans="2:9">
      <c r="B274" t="str">
        <f>IFERROR(VLOOKUP(A274, M_S3, 2, FALSE), "")</f>
        <v/>
      </c>
      <c r="D274" t="str">
        <f>IFERROR(VLOOKUP(A274, M_S3, 3, FALSE), "")</f>
        <v/>
      </c>
      <c r="I274" t="str">
        <f>IF('Production &amp; Circular'!B272=0, "", 'Production &amp; Circular'!B272 * (1 - 'Production &amp; Circular'!D272))</f>
        <v/>
      </c>
    </row>
    <row r="275" spans="2:9">
      <c r="B275" t="str">
        <f>IFERROR(VLOOKUP(A275, M_S3, 2, FALSE), "")</f>
        <v/>
      </c>
      <c r="D275" t="str">
        <f>IFERROR(VLOOKUP(A275, M_S3, 3, FALSE), "")</f>
        <v/>
      </c>
      <c r="I275" t="str">
        <f>IF('Production &amp; Circular'!B273=0, "", 'Production &amp; Circular'!B273 * (1 - 'Production &amp; Circular'!D273))</f>
        <v/>
      </c>
    </row>
    <row r="276" spans="2:9">
      <c r="B276" t="str">
        <f>IFERROR(VLOOKUP(A276, M_S3, 2, FALSE), "")</f>
        <v/>
      </c>
      <c r="D276" t="str">
        <f>IFERROR(VLOOKUP(A276, M_S3, 3, FALSE), "")</f>
        <v/>
      </c>
      <c r="I276" t="str">
        <f>IF('Production &amp; Circular'!B274=0, "", 'Production &amp; Circular'!B274 * (1 - 'Production &amp; Circular'!D274))</f>
        <v/>
      </c>
    </row>
    <row r="277" spans="2:9">
      <c r="B277" t="str">
        <f>IFERROR(VLOOKUP(A277, M_S3, 2, FALSE), "")</f>
        <v/>
      </c>
      <c r="D277" t="str">
        <f>IFERROR(VLOOKUP(A277, M_S3, 3, FALSE), "")</f>
        <v/>
      </c>
      <c r="I277" t="str">
        <f>IF('Production &amp; Circular'!B275=0, "", 'Production &amp; Circular'!B275 * (1 - 'Production &amp; Circular'!D275))</f>
        <v/>
      </c>
    </row>
    <row r="278" spans="2:9">
      <c r="B278" t="str">
        <f>IFERROR(VLOOKUP(A278, M_S3, 2, FALSE), "")</f>
        <v/>
      </c>
      <c r="D278" t="str">
        <f>IFERROR(VLOOKUP(A278, M_S3, 3, FALSE), "")</f>
        <v/>
      </c>
      <c r="I278" t="str">
        <f>IF('Production &amp; Circular'!B276=0, "", 'Production &amp; Circular'!B276 * (1 - 'Production &amp; Circular'!D276))</f>
        <v/>
      </c>
    </row>
    <row r="279" spans="2:9">
      <c r="B279" t="str">
        <f>IFERROR(VLOOKUP(A279, M_S3, 2, FALSE), "")</f>
        <v/>
      </c>
      <c r="D279" t="str">
        <f>IFERROR(VLOOKUP(A279, M_S3, 3, FALSE), "")</f>
        <v/>
      </c>
      <c r="I279" t="str">
        <f>IF('Production &amp; Circular'!B277=0, "", 'Production &amp; Circular'!B277 * (1 - 'Production &amp; Circular'!D277))</f>
        <v/>
      </c>
    </row>
    <row r="280" spans="2:9">
      <c r="B280" t="str">
        <f>IFERROR(VLOOKUP(A280, M_S3, 2, FALSE), "")</f>
        <v/>
      </c>
      <c r="D280" t="str">
        <f>IFERROR(VLOOKUP(A280, M_S3, 3, FALSE), "")</f>
        <v/>
      </c>
      <c r="I280" t="str">
        <f>IF('Production &amp; Circular'!B278=0, "", 'Production &amp; Circular'!B278 * (1 - 'Production &amp; Circular'!D278))</f>
        <v/>
      </c>
    </row>
    <row r="281" spans="2:9">
      <c r="B281" t="str">
        <f>IFERROR(VLOOKUP(A281, M_S3, 2, FALSE), "")</f>
        <v/>
      </c>
      <c r="D281" t="str">
        <f>IFERROR(VLOOKUP(A281, M_S3, 3, FALSE), "")</f>
        <v/>
      </c>
      <c r="I281" t="str">
        <f>IF('Production &amp; Circular'!B279=0, "", 'Production &amp; Circular'!B279 * (1 - 'Production &amp; Circular'!D279))</f>
        <v/>
      </c>
    </row>
    <row r="282" spans="2:9">
      <c r="B282" t="str">
        <f>IFERROR(VLOOKUP(A282, M_S3, 2, FALSE), "")</f>
        <v/>
      </c>
      <c r="D282" t="str">
        <f>IFERROR(VLOOKUP(A282, M_S3, 3, FALSE), "")</f>
        <v/>
      </c>
      <c r="I282" t="str">
        <f>IF('Production &amp; Circular'!B280=0, "", 'Production &amp; Circular'!B280 * (1 - 'Production &amp; Circular'!D280))</f>
        <v/>
      </c>
    </row>
    <row r="283" spans="2:9">
      <c r="B283" t="str">
        <f>IFERROR(VLOOKUP(A283, M_S3, 2, FALSE), "")</f>
        <v/>
      </c>
      <c r="D283" t="str">
        <f>IFERROR(VLOOKUP(A283, M_S3, 3, FALSE), "")</f>
        <v/>
      </c>
      <c r="I283" t="str">
        <f>IF('Production &amp; Circular'!B281=0, "", 'Production &amp; Circular'!B281 * (1 - 'Production &amp; Circular'!D281))</f>
        <v/>
      </c>
    </row>
    <row r="284" spans="2:9">
      <c r="B284" t="str">
        <f>IFERROR(VLOOKUP(A284, M_S3, 2, FALSE), "")</f>
        <v/>
      </c>
      <c r="D284" t="str">
        <f>IFERROR(VLOOKUP(A284, M_S3, 3, FALSE), "")</f>
        <v/>
      </c>
      <c r="I284" t="str">
        <f>IF('Production &amp; Circular'!B282=0, "", 'Production &amp; Circular'!B282 * (1 - 'Production &amp; Circular'!D282))</f>
        <v/>
      </c>
    </row>
    <row r="285" spans="2:9">
      <c r="B285" t="str">
        <f>IFERROR(VLOOKUP(A285, M_S3, 2, FALSE), "")</f>
        <v/>
      </c>
      <c r="D285" t="str">
        <f>IFERROR(VLOOKUP(A285, M_S3, 3, FALSE), "")</f>
        <v/>
      </c>
      <c r="I285" t="str">
        <f>IF('Production &amp; Circular'!B283=0, "", 'Production &amp; Circular'!B283 * (1 - 'Production &amp; Circular'!D283))</f>
        <v/>
      </c>
    </row>
    <row r="286" spans="2:9">
      <c r="B286" t="str">
        <f>IFERROR(VLOOKUP(A286, M_S3, 2, FALSE), "")</f>
        <v/>
      </c>
      <c r="D286" t="str">
        <f>IFERROR(VLOOKUP(A286, M_S3, 3, FALSE), "")</f>
        <v/>
      </c>
      <c r="I286" t="str">
        <f>IF('Production &amp; Circular'!B284=0, "", 'Production &amp; Circular'!B284 * (1 - 'Production &amp; Circular'!D284))</f>
        <v/>
      </c>
    </row>
    <row r="287" spans="2:9">
      <c r="B287" t="str">
        <f>IFERROR(VLOOKUP(A287, M_S3, 2, FALSE), "")</f>
        <v/>
      </c>
      <c r="D287" t="str">
        <f>IFERROR(VLOOKUP(A287, M_S3, 3, FALSE), "")</f>
        <v/>
      </c>
      <c r="I287" t="str">
        <f>IF('Production &amp; Circular'!B285=0, "", 'Production &amp; Circular'!B285 * (1 - 'Production &amp; Circular'!D285))</f>
        <v/>
      </c>
    </row>
    <row r="288" spans="2:9">
      <c r="B288" t="str">
        <f>IFERROR(VLOOKUP(A288, M_S3, 2, FALSE), "")</f>
        <v/>
      </c>
      <c r="D288" t="str">
        <f>IFERROR(VLOOKUP(A288, M_S3, 3, FALSE), "")</f>
        <v/>
      </c>
      <c r="I288" t="str">
        <f>IF('Production &amp; Circular'!B286=0, "", 'Production &amp; Circular'!B286 * (1 - 'Production &amp; Circular'!D286))</f>
        <v/>
      </c>
    </row>
    <row r="289" spans="2:9">
      <c r="B289" t="str">
        <f>IFERROR(VLOOKUP(A289, M_S3, 2, FALSE), "")</f>
        <v/>
      </c>
      <c r="D289" t="str">
        <f>IFERROR(VLOOKUP(A289, M_S3, 3, FALSE), "")</f>
        <v/>
      </c>
      <c r="I289" t="str">
        <f>IF('Production &amp; Circular'!B287=0, "", 'Production &amp; Circular'!B287 * (1 - 'Production &amp; Circular'!D287))</f>
        <v/>
      </c>
    </row>
    <row r="290" spans="2:9">
      <c r="B290" t="str">
        <f>IFERROR(VLOOKUP(A290, M_S3, 2, FALSE), "")</f>
        <v/>
      </c>
      <c r="D290" t="str">
        <f>IFERROR(VLOOKUP(A290, M_S3, 3, FALSE), "")</f>
        <v/>
      </c>
      <c r="I290" t="str">
        <f>IF('Production &amp; Circular'!B288=0, "", 'Production &amp; Circular'!B288 * (1 - 'Production &amp; Circular'!D288))</f>
        <v/>
      </c>
    </row>
    <row r="291" spans="2:9">
      <c r="B291" t="str">
        <f>IFERROR(VLOOKUP(A291, M_S3, 2, FALSE), "")</f>
        <v/>
      </c>
      <c r="D291" t="str">
        <f>IFERROR(VLOOKUP(A291, M_S3, 3, FALSE), "")</f>
        <v/>
      </c>
      <c r="I291" t="str">
        <f>IF('Production &amp; Circular'!B289=0, "", 'Production &amp; Circular'!B289 * (1 - 'Production &amp; Circular'!D289))</f>
        <v/>
      </c>
    </row>
    <row r="292" spans="2:9">
      <c r="B292" t="str">
        <f>IFERROR(VLOOKUP(A292, M_S3, 2, FALSE), "")</f>
        <v/>
      </c>
      <c r="D292" t="str">
        <f>IFERROR(VLOOKUP(A292, M_S3, 3, FALSE), "")</f>
        <v/>
      </c>
      <c r="I292" t="str">
        <f>IF('Production &amp; Circular'!B290=0, "", 'Production &amp; Circular'!B290 * (1 - 'Production &amp; Circular'!D290))</f>
        <v/>
      </c>
    </row>
    <row r="293" spans="2:9">
      <c r="B293" t="str">
        <f>IFERROR(VLOOKUP(A293, M_S3, 2, FALSE), "")</f>
        <v/>
      </c>
      <c r="D293" t="str">
        <f>IFERROR(VLOOKUP(A293, M_S3, 3, FALSE), "")</f>
        <v/>
      </c>
      <c r="I293" t="str">
        <f>IF('Production &amp; Circular'!B291=0, "", 'Production &amp; Circular'!B291 * (1 - 'Production &amp; Circular'!D291))</f>
        <v/>
      </c>
    </row>
    <row r="294" spans="2:9">
      <c r="B294" t="str">
        <f>IFERROR(VLOOKUP(A294, M_S3, 2, FALSE), "")</f>
        <v/>
      </c>
      <c r="D294" t="str">
        <f>IFERROR(VLOOKUP(A294, M_S3, 3, FALSE), "")</f>
        <v/>
      </c>
      <c r="I294" t="str">
        <f>IF('Production &amp; Circular'!B292=0, "", 'Production &amp; Circular'!B292 * (1 - 'Production &amp; Circular'!D292))</f>
        <v/>
      </c>
    </row>
    <row r="295" spans="2:9">
      <c r="B295" t="str">
        <f>IFERROR(VLOOKUP(A295, M_S3, 2, FALSE), "")</f>
        <v/>
      </c>
      <c r="D295" t="str">
        <f>IFERROR(VLOOKUP(A295, M_S3, 3, FALSE), "")</f>
        <v/>
      </c>
      <c r="I295" t="str">
        <f>IF('Production &amp; Circular'!B293=0, "", 'Production &amp; Circular'!B293 * (1 - 'Production &amp; Circular'!D293))</f>
        <v/>
      </c>
    </row>
    <row r="296" spans="2:9">
      <c r="B296" t="str">
        <f>IFERROR(VLOOKUP(A296, M_S3, 2, FALSE), "")</f>
        <v/>
      </c>
      <c r="D296" t="str">
        <f>IFERROR(VLOOKUP(A296, M_S3, 3, FALSE), "")</f>
        <v/>
      </c>
      <c r="I296" t="str">
        <f>IF('Production &amp; Circular'!B294=0, "", 'Production &amp; Circular'!B294 * (1 - 'Production &amp; Circular'!D294))</f>
        <v/>
      </c>
    </row>
    <row r="297" spans="2:9">
      <c r="B297" t="str">
        <f>IFERROR(VLOOKUP(A297, M_S3, 2, FALSE), "")</f>
        <v/>
      </c>
      <c r="D297" t="str">
        <f>IFERROR(VLOOKUP(A297, M_S3, 3, FALSE), "")</f>
        <v/>
      </c>
      <c r="I297" t="str">
        <f>IF('Production &amp; Circular'!B295=0, "", 'Production &amp; Circular'!B295 * (1 - 'Production &amp; Circular'!D295))</f>
        <v/>
      </c>
    </row>
    <row r="298" spans="2:9">
      <c r="B298" t="str">
        <f>IFERROR(VLOOKUP(A298, M_S3, 2, FALSE), "")</f>
        <v/>
      </c>
      <c r="D298" t="str">
        <f>IFERROR(VLOOKUP(A298, M_S3, 3, FALSE), "")</f>
        <v/>
      </c>
      <c r="I298" t="str">
        <f>IF('Production &amp; Circular'!B296=0, "", 'Production &amp; Circular'!B296 * (1 - 'Production &amp; Circular'!D296))</f>
        <v/>
      </c>
    </row>
    <row r="299" spans="2:9">
      <c r="B299" t="str">
        <f>IFERROR(VLOOKUP(A299, M_S3, 2, FALSE), "")</f>
        <v/>
      </c>
      <c r="D299" t="str">
        <f>IFERROR(VLOOKUP(A299, M_S3, 3, FALSE), "")</f>
        <v/>
      </c>
      <c r="I299" t="str">
        <f>IF('Production &amp; Circular'!B297=0, "", 'Production &amp; Circular'!B297 * (1 - 'Production &amp; Circular'!D297))</f>
        <v/>
      </c>
    </row>
    <row r="300" spans="2:9">
      <c r="B300" t="str">
        <f>IFERROR(VLOOKUP(A300, M_S3, 2, FALSE), "")</f>
        <v/>
      </c>
      <c r="D300" t="str">
        <f>IFERROR(VLOOKUP(A300, M_S3, 3, FALSE), "")</f>
        <v/>
      </c>
      <c r="I300" t="str">
        <f>IF('Production &amp; Circular'!B298=0, "", 'Production &amp; Circular'!B298 * (1 - 'Production &amp; Circular'!D298))</f>
        <v/>
      </c>
    </row>
    <row r="301" spans="2:9">
      <c r="B301" t="str">
        <f>IFERROR(VLOOKUP(A301, M_S3, 2, FALSE), "")</f>
        <v/>
      </c>
      <c r="D301" t="str">
        <f>IFERROR(VLOOKUP(A301, M_S3, 3, FALSE), "")</f>
        <v/>
      </c>
      <c r="I301" t="str">
        <f>IF('Production &amp; Circular'!B299=0, "", 'Production &amp; Circular'!B299 * (1 - 'Production &amp; Circular'!D299))</f>
        <v/>
      </c>
    </row>
    <row r="302" spans="2:9">
      <c r="B302" t="str">
        <f>IFERROR(VLOOKUP(A302, M_S3, 2, FALSE), "")</f>
        <v/>
      </c>
      <c r="D302" t="str">
        <f>IFERROR(VLOOKUP(A302, M_S3, 3, FALSE), "")</f>
        <v/>
      </c>
      <c r="I302" t="str">
        <f>IF('Production &amp; Circular'!B300=0, "", 'Production &amp; Circular'!B300 * (1 - 'Production &amp; Circular'!D300))</f>
        <v/>
      </c>
    </row>
    <row r="303" spans="2:9">
      <c r="B303" t="str">
        <f>IFERROR(VLOOKUP(A303, M_S3, 2, FALSE), "")</f>
        <v/>
      </c>
      <c r="D303" t="str">
        <f>IFERROR(VLOOKUP(A303, M_S3, 3, FALSE), "")</f>
        <v/>
      </c>
      <c r="I303" t="str">
        <f>IF('Production &amp; Circular'!B301=0, "", 'Production &amp; Circular'!B301 * (1 - 'Production &amp; Circular'!D301))</f>
        <v/>
      </c>
    </row>
    <row r="304" spans="2:9">
      <c r="B304" t="str">
        <f>IFERROR(VLOOKUP(A304, M_S3, 2, FALSE), "")</f>
        <v/>
      </c>
      <c r="D304" t="str">
        <f>IFERROR(VLOOKUP(A304, M_S3, 3, FALSE), "")</f>
        <v/>
      </c>
      <c r="I304" t="str">
        <f>IF('Production &amp; Circular'!B302=0, "", 'Production &amp; Circular'!B302 * (1 - 'Production &amp; Circular'!D302))</f>
        <v/>
      </c>
    </row>
    <row r="305" spans="2:9">
      <c r="B305" t="str">
        <f>IFERROR(VLOOKUP(A305, M_S3, 2, FALSE), "")</f>
        <v/>
      </c>
      <c r="D305" t="str">
        <f>IFERROR(VLOOKUP(A305, M_S3, 3, FALSE), "")</f>
        <v/>
      </c>
      <c r="I305" t="str">
        <f>IF('Production &amp; Circular'!B303=0, "", 'Production &amp; Circular'!B303 * (1 - 'Production &amp; Circular'!D303))</f>
        <v/>
      </c>
    </row>
    <row r="306" spans="2:9">
      <c r="B306" t="str">
        <f>IFERROR(VLOOKUP(A306, M_S3, 2, FALSE), "")</f>
        <v/>
      </c>
      <c r="D306" t="str">
        <f>IFERROR(VLOOKUP(A306, M_S3, 3, FALSE), "")</f>
        <v/>
      </c>
      <c r="I306" t="str">
        <f>IF('Production &amp; Circular'!B304=0, "", 'Production &amp; Circular'!B304 * (1 - 'Production &amp; Circular'!D304))</f>
        <v/>
      </c>
    </row>
    <row r="307" spans="2:9">
      <c r="B307" t="str">
        <f>IFERROR(VLOOKUP(A307, M_S3, 2, FALSE), "")</f>
        <v/>
      </c>
      <c r="D307" t="str">
        <f>IFERROR(VLOOKUP(A307, M_S3, 3, FALSE), "")</f>
        <v/>
      </c>
      <c r="I307" t="str">
        <f>IF('Production &amp; Circular'!B305=0, "", 'Production &amp; Circular'!B305 * (1 - 'Production &amp; Circular'!D305))</f>
        <v/>
      </c>
    </row>
    <row r="308" spans="2:9">
      <c r="B308" t="str">
        <f>IFERROR(VLOOKUP(A308, M_S3, 2, FALSE), "")</f>
        <v/>
      </c>
      <c r="D308" t="str">
        <f>IFERROR(VLOOKUP(A308, M_S3, 3, FALSE), "")</f>
        <v/>
      </c>
      <c r="I308" t="str">
        <f>IF('Production &amp; Circular'!B306=0, "", 'Production &amp; Circular'!B306 * (1 - 'Production &amp; Circular'!D306))</f>
        <v/>
      </c>
    </row>
    <row r="309" spans="2:9">
      <c r="B309" t="str">
        <f>IFERROR(VLOOKUP(A309, M_S3, 2, FALSE), "")</f>
        <v/>
      </c>
      <c r="D309" t="str">
        <f>IFERROR(VLOOKUP(A309, M_S3, 3, FALSE), "")</f>
        <v/>
      </c>
      <c r="I309" t="str">
        <f>IF('Production &amp; Circular'!B307=0, "", 'Production &amp; Circular'!B307 * (1 - 'Production &amp; Circular'!D307))</f>
        <v/>
      </c>
    </row>
    <row r="310" spans="2:9">
      <c r="B310" t="str">
        <f>IFERROR(VLOOKUP(A310, M_S3, 2, FALSE), "")</f>
        <v/>
      </c>
      <c r="D310" t="str">
        <f>IFERROR(VLOOKUP(A310, M_S3, 3, FALSE), "")</f>
        <v/>
      </c>
      <c r="I310" t="str">
        <f>IF('Production &amp; Circular'!B308=0, "", 'Production &amp; Circular'!B308 * (1 - 'Production &amp; Circular'!D308))</f>
        <v/>
      </c>
    </row>
    <row r="311" spans="2:9">
      <c r="B311" t="str">
        <f>IFERROR(VLOOKUP(A311, M_S3, 2, FALSE), "")</f>
        <v/>
      </c>
      <c r="D311" t="str">
        <f>IFERROR(VLOOKUP(A311, M_S3, 3, FALSE), "")</f>
        <v/>
      </c>
      <c r="I311" t="str">
        <f>IF('Production &amp; Circular'!B309=0, "", 'Production &amp; Circular'!B309 * (1 - 'Production &amp; Circular'!D309))</f>
        <v/>
      </c>
    </row>
    <row r="312" spans="2:9">
      <c r="B312" t="str">
        <f>IFERROR(VLOOKUP(A312, M_S3, 2, FALSE), "")</f>
        <v/>
      </c>
      <c r="D312" t="str">
        <f>IFERROR(VLOOKUP(A312, M_S3, 3, FALSE), "")</f>
        <v/>
      </c>
      <c r="I312" t="str">
        <f>IF('Production &amp; Circular'!B310=0, "", 'Production &amp; Circular'!B310 * (1 - 'Production &amp; Circular'!D310))</f>
        <v/>
      </c>
    </row>
    <row r="313" spans="2:9">
      <c r="B313" t="str">
        <f>IFERROR(VLOOKUP(A313, M_S3, 2, FALSE), "")</f>
        <v/>
      </c>
      <c r="D313" t="str">
        <f>IFERROR(VLOOKUP(A313, M_S3, 3, FALSE), "")</f>
        <v/>
      </c>
      <c r="I313" t="str">
        <f>IF('Production &amp; Circular'!B311=0, "", 'Production &amp; Circular'!B311 * (1 - 'Production &amp; Circular'!D311))</f>
        <v/>
      </c>
    </row>
    <row r="314" spans="2:9">
      <c r="B314" t="str">
        <f>IFERROR(VLOOKUP(A314, M_S3, 2, FALSE), "")</f>
        <v/>
      </c>
      <c r="D314" t="str">
        <f>IFERROR(VLOOKUP(A314, M_S3, 3, FALSE), "")</f>
        <v/>
      </c>
      <c r="I314" t="str">
        <f>IF('Production &amp; Circular'!B312=0, "", 'Production &amp; Circular'!B312 * (1 - 'Production &amp; Circular'!D312))</f>
        <v/>
      </c>
    </row>
    <row r="315" spans="2:9">
      <c r="B315" t="str">
        <f>IFERROR(VLOOKUP(A315, M_S3, 2, FALSE), "")</f>
        <v/>
      </c>
      <c r="D315" t="str">
        <f>IFERROR(VLOOKUP(A315, M_S3, 3, FALSE), "")</f>
        <v/>
      </c>
      <c r="I315" t="str">
        <f>IF('Production &amp; Circular'!B313=0, "", 'Production &amp; Circular'!B313 * (1 - 'Production &amp; Circular'!D313))</f>
        <v/>
      </c>
    </row>
    <row r="316" spans="2:9">
      <c r="B316" t="str">
        <f>IFERROR(VLOOKUP(A316, M_S3, 2, FALSE), "")</f>
        <v/>
      </c>
      <c r="D316" t="str">
        <f>IFERROR(VLOOKUP(A316, M_S3, 3, FALSE), "")</f>
        <v/>
      </c>
      <c r="I316" t="str">
        <f>IF('Production &amp; Circular'!B314=0, "", 'Production &amp; Circular'!B314 * (1 - 'Production &amp; Circular'!D314))</f>
        <v/>
      </c>
    </row>
    <row r="317" spans="2:9">
      <c r="B317" t="str">
        <f>IFERROR(VLOOKUP(A317, M_S3, 2, FALSE), "")</f>
        <v/>
      </c>
      <c r="D317" t="str">
        <f>IFERROR(VLOOKUP(A317, M_S3, 3, FALSE), "")</f>
        <v/>
      </c>
      <c r="I317" t="str">
        <f>IF('Production &amp; Circular'!B315=0, "", 'Production &amp; Circular'!B315 * (1 - 'Production &amp; Circular'!D315))</f>
        <v/>
      </c>
    </row>
    <row r="318" spans="2:9">
      <c r="B318" t="str">
        <f>IFERROR(VLOOKUP(A318, M_S3, 2, FALSE), "")</f>
        <v/>
      </c>
      <c r="D318" t="str">
        <f>IFERROR(VLOOKUP(A318, M_S3, 3, FALSE), "")</f>
        <v/>
      </c>
      <c r="I318" t="str">
        <f>IF('Production &amp; Circular'!B316=0, "", 'Production &amp; Circular'!B316 * (1 - 'Production &amp; Circular'!D316))</f>
        <v/>
      </c>
    </row>
    <row r="319" spans="2:9">
      <c r="B319" t="str">
        <f>IFERROR(VLOOKUP(A319, M_S3, 2, FALSE), "")</f>
        <v/>
      </c>
      <c r="D319" t="str">
        <f>IFERROR(VLOOKUP(A319, M_S3, 3, FALSE), "")</f>
        <v/>
      </c>
      <c r="I319" t="str">
        <f>IF('Production &amp; Circular'!B317=0, "", 'Production &amp; Circular'!B317 * (1 - 'Production &amp; Circular'!D317))</f>
        <v/>
      </c>
    </row>
    <row r="320" spans="2:9">
      <c r="B320" t="str">
        <f>IFERROR(VLOOKUP(A320, M_S3, 2, FALSE), "")</f>
        <v/>
      </c>
      <c r="D320" t="str">
        <f>IFERROR(VLOOKUP(A320, M_S3, 3, FALSE), "")</f>
        <v/>
      </c>
      <c r="I320" t="str">
        <f>IF('Production &amp; Circular'!B318=0, "", 'Production &amp; Circular'!B318 * (1 - 'Production &amp; Circular'!D318))</f>
        <v/>
      </c>
    </row>
    <row r="321" spans="2:9">
      <c r="B321" t="str">
        <f>IFERROR(VLOOKUP(A321, M_S3, 2, FALSE), "")</f>
        <v/>
      </c>
      <c r="D321" t="str">
        <f>IFERROR(VLOOKUP(A321, M_S3, 3, FALSE), "")</f>
        <v/>
      </c>
      <c r="I321" t="str">
        <f>IF('Production &amp; Circular'!B319=0, "", 'Production &amp; Circular'!B319 * (1 - 'Production &amp; Circular'!D319))</f>
        <v/>
      </c>
    </row>
    <row r="322" spans="2:9">
      <c r="B322" t="str">
        <f>IFERROR(VLOOKUP(A322, M_S3, 2, FALSE), "")</f>
        <v/>
      </c>
      <c r="D322" t="str">
        <f>IFERROR(VLOOKUP(A322, M_S3, 3, FALSE), "")</f>
        <v/>
      </c>
      <c r="I322" t="str">
        <f>IF('Production &amp; Circular'!B320=0, "", 'Production &amp; Circular'!B320 * (1 - 'Production &amp; Circular'!D320))</f>
        <v/>
      </c>
    </row>
    <row r="323" spans="2:9">
      <c r="B323" t="str">
        <f>IFERROR(VLOOKUP(A323, M_S3, 2, FALSE), "")</f>
        <v/>
      </c>
      <c r="D323" t="str">
        <f>IFERROR(VLOOKUP(A323, M_S3, 3, FALSE), "")</f>
        <v/>
      </c>
      <c r="I323" t="str">
        <f>IF('Production &amp; Circular'!B321=0, "", 'Production &amp; Circular'!B321 * (1 - 'Production &amp; Circular'!D321))</f>
        <v/>
      </c>
    </row>
    <row r="324" spans="2:9">
      <c r="B324" t="str">
        <f>IFERROR(VLOOKUP(A324, M_S3, 2, FALSE), "")</f>
        <v/>
      </c>
      <c r="D324" t="str">
        <f>IFERROR(VLOOKUP(A324, M_S3, 3, FALSE), "")</f>
        <v/>
      </c>
      <c r="I324" t="str">
        <f>IF('Production &amp; Circular'!B322=0, "", 'Production &amp; Circular'!B322 * (1 - 'Production &amp; Circular'!D322))</f>
        <v/>
      </c>
    </row>
    <row r="325" spans="2:9">
      <c r="B325" t="str">
        <f>IFERROR(VLOOKUP(A325, M_S3, 2, FALSE), "")</f>
        <v/>
      </c>
      <c r="D325" t="str">
        <f>IFERROR(VLOOKUP(A325, M_S3, 3, FALSE), "")</f>
        <v/>
      </c>
      <c r="I325" t="str">
        <f>IF('Production &amp; Circular'!B323=0, "", 'Production &amp; Circular'!B323 * (1 - 'Production &amp; Circular'!D323))</f>
        <v/>
      </c>
    </row>
    <row r="326" spans="2:9">
      <c r="B326" t="str">
        <f>IFERROR(VLOOKUP(A326, M_S3, 2, FALSE), "")</f>
        <v/>
      </c>
      <c r="D326" t="str">
        <f>IFERROR(VLOOKUP(A326, M_S3, 3, FALSE), "")</f>
        <v/>
      </c>
      <c r="I326" t="str">
        <f>IF('Production &amp; Circular'!B324=0, "", 'Production &amp; Circular'!B324 * (1 - 'Production &amp; Circular'!D324))</f>
        <v/>
      </c>
    </row>
    <row r="327" spans="2:9">
      <c r="B327" t="str">
        <f>IFERROR(VLOOKUP(A327, M_S3, 2, FALSE), "")</f>
        <v/>
      </c>
      <c r="D327" t="str">
        <f>IFERROR(VLOOKUP(A327, M_S3, 3, FALSE), "")</f>
        <v/>
      </c>
      <c r="I327" t="str">
        <f>IF('Production &amp; Circular'!B325=0, "", 'Production &amp; Circular'!B325 * (1 - 'Production &amp; Circular'!D325))</f>
        <v/>
      </c>
    </row>
    <row r="328" spans="2:9">
      <c r="B328" t="str">
        <f>IFERROR(VLOOKUP(A328, M_S3, 2, FALSE), "")</f>
        <v/>
      </c>
      <c r="D328" t="str">
        <f>IFERROR(VLOOKUP(A328, M_S3, 3, FALSE), "")</f>
        <v/>
      </c>
      <c r="I328" t="str">
        <f>IF('Production &amp; Circular'!B326=0, "", 'Production &amp; Circular'!B326 * (1 - 'Production &amp; Circular'!D326))</f>
        <v/>
      </c>
    </row>
    <row r="329" spans="2:9">
      <c r="B329" t="str">
        <f>IFERROR(VLOOKUP(A329, M_S3, 2, FALSE), "")</f>
        <v/>
      </c>
      <c r="D329" t="str">
        <f>IFERROR(VLOOKUP(A329, M_S3, 3, FALSE), "")</f>
        <v/>
      </c>
      <c r="I329" t="str">
        <f>IF('Production &amp; Circular'!B327=0, "", 'Production &amp; Circular'!B327 * (1 - 'Production &amp; Circular'!D327))</f>
        <v/>
      </c>
    </row>
    <row r="330" spans="2:9">
      <c r="B330" t="str">
        <f>IFERROR(VLOOKUP(A330, M_S3, 2, FALSE), "")</f>
        <v/>
      </c>
      <c r="D330" t="str">
        <f>IFERROR(VLOOKUP(A330, M_S3, 3, FALSE), "")</f>
        <v/>
      </c>
      <c r="I330" t="str">
        <f>IF('Production &amp; Circular'!B328=0, "", 'Production &amp; Circular'!B328 * (1 - 'Production &amp; Circular'!D328))</f>
        <v/>
      </c>
    </row>
    <row r="331" spans="2:9">
      <c r="B331" t="str">
        <f>IFERROR(VLOOKUP(A331, M_S3, 2, FALSE), "")</f>
        <v/>
      </c>
      <c r="D331" t="str">
        <f>IFERROR(VLOOKUP(A331, M_S3, 3, FALSE), "")</f>
        <v/>
      </c>
      <c r="I331" t="str">
        <f>IF('Production &amp; Circular'!B329=0, "", 'Production &amp; Circular'!B329 * (1 - 'Production &amp; Circular'!D329))</f>
        <v/>
      </c>
    </row>
    <row r="332" spans="2:9">
      <c r="B332" t="str">
        <f>IFERROR(VLOOKUP(A332, M_S3, 2, FALSE), "")</f>
        <v/>
      </c>
      <c r="D332" t="str">
        <f>IFERROR(VLOOKUP(A332, M_S3, 3, FALSE), "")</f>
        <v/>
      </c>
      <c r="I332" t="str">
        <f>IF('Production &amp; Circular'!B330=0, "", 'Production &amp; Circular'!B330 * (1 - 'Production &amp; Circular'!D330))</f>
        <v/>
      </c>
    </row>
    <row r="333" spans="2:9">
      <c r="B333" t="str">
        <f>IFERROR(VLOOKUP(A333, M_S3, 2, FALSE), "")</f>
        <v/>
      </c>
      <c r="D333" t="str">
        <f>IFERROR(VLOOKUP(A333, M_S3, 3, FALSE), "")</f>
        <v/>
      </c>
      <c r="I333" t="str">
        <f>IF('Production &amp; Circular'!B331=0, "", 'Production &amp; Circular'!B331 * (1 - 'Production &amp; Circular'!D331))</f>
        <v/>
      </c>
    </row>
    <row r="334" spans="2:9">
      <c r="B334" t="str">
        <f>IFERROR(VLOOKUP(A334, M_S3, 2, FALSE), "")</f>
        <v/>
      </c>
      <c r="D334" t="str">
        <f>IFERROR(VLOOKUP(A334, M_S3, 3, FALSE), "")</f>
        <v/>
      </c>
      <c r="I334" t="str">
        <f>IF('Production &amp; Circular'!B332=0, "", 'Production &amp; Circular'!B332 * (1 - 'Production &amp; Circular'!D332))</f>
        <v/>
      </c>
    </row>
    <row r="335" spans="2:9">
      <c r="B335" t="str">
        <f>IFERROR(VLOOKUP(A335, M_S3, 2, FALSE), "")</f>
        <v/>
      </c>
      <c r="D335" t="str">
        <f>IFERROR(VLOOKUP(A335, M_S3, 3, FALSE), "")</f>
        <v/>
      </c>
      <c r="I335" t="str">
        <f>IF('Production &amp; Circular'!B333=0, "", 'Production &amp; Circular'!B333 * (1 - 'Production &amp; Circular'!D333))</f>
        <v/>
      </c>
    </row>
    <row r="336" spans="2:9">
      <c r="B336" t="str">
        <f>IFERROR(VLOOKUP(A336, M_S3, 2, FALSE), "")</f>
        <v/>
      </c>
      <c r="D336" t="str">
        <f>IFERROR(VLOOKUP(A336, M_S3, 3, FALSE), "")</f>
        <v/>
      </c>
      <c r="I336" t="str">
        <f>IF('Production &amp; Circular'!B334=0, "", 'Production &amp; Circular'!B334 * (1 - 'Production &amp; Circular'!D334))</f>
        <v/>
      </c>
    </row>
    <row r="337" spans="2:9">
      <c r="B337" t="str">
        <f>IFERROR(VLOOKUP(A337, M_S3, 2, FALSE), "")</f>
        <v/>
      </c>
      <c r="D337" t="str">
        <f>IFERROR(VLOOKUP(A337, M_S3, 3, FALSE), "")</f>
        <v/>
      </c>
      <c r="I337" t="str">
        <f>IF('Production &amp; Circular'!B335=0, "", 'Production &amp; Circular'!B335 * (1 - 'Production &amp; Circular'!D335))</f>
        <v/>
      </c>
    </row>
    <row r="338" spans="2:9">
      <c r="B338" t="str">
        <f>IFERROR(VLOOKUP(A338, M_S3, 2, FALSE), "")</f>
        <v/>
      </c>
      <c r="D338" t="str">
        <f>IFERROR(VLOOKUP(A338, M_S3, 3, FALSE), "")</f>
        <v/>
      </c>
      <c r="I338" t="str">
        <f>IF('Production &amp; Circular'!B336=0, "", 'Production &amp; Circular'!B336 * (1 - 'Production &amp; Circular'!D336))</f>
        <v/>
      </c>
    </row>
    <row r="339" spans="2:9">
      <c r="B339" t="str">
        <f>IFERROR(VLOOKUP(A339, M_S3, 2, FALSE), "")</f>
        <v/>
      </c>
      <c r="D339" t="str">
        <f>IFERROR(VLOOKUP(A339, M_S3, 3, FALSE), "")</f>
        <v/>
      </c>
      <c r="I339" t="str">
        <f>IF('Production &amp; Circular'!B337=0, "", 'Production &amp; Circular'!B337 * (1 - 'Production &amp; Circular'!D337))</f>
        <v/>
      </c>
    </row>
    <row r="340" spans="2:9">
      <c r="B340" t="str">
        <f>IFERROR(VLOOKUP(A340, M_S3, 2, FALSE), "")</f>
        <v/>
      </c>
      <c r="D340" t="str">
        <f>IFERROR(VLOOKUP(A340, M_S3, 3, FALSE), "")</f>
        <v/>
      </c>
      <c r="I340" t="str">
        <f>IF('Production &amp; Circular'!B338=0, "", 'Production &amp; Circular'!B338 * (1 - 'Production &amp; Circular'!D338))</f>
        <v/>
      </c>
    </row>
    <row r="341" spans="2:9">
      <c r="B341" t="str">
        <f>IFERROR(VLOOKUP(A341, M_S3, 2, FALSE), "")</f>
        <v/>
      </c>
      <c r="D341" t="str">
        <f>IFERROR(VLOOKUP(A341, M_S3, 3, FALSE), "")</f>
        <v/>
      </c>
      <c r="I341" t="str">
        <f>IF('Production &amp; Circular'!B339=0, "", 'Production &amp; Circular'!B339 * (1 - 'Production &amp; Circular'!D339))</f>
        <v/>
      </c>
    </row>
    <row r="342" spans="2:9">
      <c r="B342" t="str">
        <f>IFERROR(VLOOKUP(A342, M_S3, 2, FALSE), "")</f>
        <v/>
      </c>
      <c r="D342" t="str">
        <f>IFERROR(VLOOKUP(A342, M_S3, 3, FALSE), "")</f>
        <v/>
      </c>
      <c r="I342" t="str">
        <f>IF('Production &amp; Circular'!B340=0, "", 'Production &amp; Circular'!B340 * (1 - 'Production &amp; Circular'!D340))</f>
        <v/>
      </c>
    </row>
    <row r="343" spans="2:9">
      <c r="B343" t="str">
        <f>IFERROR(VLOOKUP(A343, M_S3, 2, FALSE), "")</f>
        <v/>
      </c>
      <c r="D343" t="str">
        <f>IFERROR(VLOOKUP(A343, M_S3, 3, FALSE), "")</f>
        <v/>
      </c>
      <c r="I343" t="str">
        <f>IF('Production &amp; Circular'!B341=0, "", 'Production &amp; Circular'!B341 * (1 - 'Production &amp; Circular'!D341))</f>
        <v/>
      </c>
    </row>
    <row r="344" spans="2:9">
      <c r="B344" t="str">
        <f>IFERROR(VLOOKUP(A344, M_S3, 2, FALSE), "")</f>
        <v/>
      </c>
      <c r="D344" t="str">
        <f>IFERROR(VLOOKUP(A344, M_S3, 3, FALSE), "")</f>
        <v/>
      </c>
      <c r="I344" t="str">
        <f>IF('Production &amp; Circular'!B342=0, "", 'Production &amp; Circular'!B342 * (1 - 'Production &amp; Circular'!D342))</f>
        <v/>
      </c>
    </row>
    <row r="345" spans="2:9">
      <c r="B345" t="str">
        <f>IFERROR(VLOOKUP(A345, M_S3, 2, FALSE), "")</f>
        <v/>
      </c>
      <c r="D345" t="str">
        <f>IFERROR(VLOOKUP(A345, M_S3, 3, FALSE), "")</f>
        <v/>
      </c>
      <c r="I345" t="str">
        <f>IF('Production &amp; Circular'!B343=0, "", 'Production &amp; Circular'!B343 * (1 - 'Production &amp; Circular'!D343))</f>
        <v/>
      </c>
    </row>
    <row r="346" spans="2:9">
      <c r="B346" t="str">
        <f>IFERROR(VLOOKUP(A346, M_S3, 2, FALSE), "")</f>
        <v/>
      </c>
      <c r="D346" t="str">
        <f>IFERROR(VLOOKUP(A346, M_S3, 3, FALSE), "")</f>
        <v/>
      </c>
      <c r="I346" t="str">
        <f>IF('Production &amp; Circular'!B344=0, "", 'Production &amp; Circular'!B344 * (1 - 'Production &amp; Circular'!D344))</f>
        <v/>
      </c>
    </row>
    <row r="347" spans="2:9">
      <c r="B347" t="str">
        <f>IFERROR(VLOOKUP(A347, M_S3, 2, FALSE), "")</f>
        <v/>
      </c>
      <c r="D347" t="str">
        <f>IFERROR(VLOOKUP(A347, M_S3, 3, FALSE), "")</f>
        <v/>
      </c>
      <c r="I347" t="str">
        <f>IF('Production &amp; Circular'!B345=0, "", 'Production &amp; Circular'!B345 * (1 - 'Production &amp; Circular'!D345))</f>
        <v/>
      </c>
    </row>
    <row r="348" spans="2:9">
      <c r="B348" t="str">
        <f>IFERROR(VLOOKUP(A348, M_S3, 2, FALSE), "")</f>
        <v/>
      </c>
      <c r="D348" t="str">
        <f>IFERROR(VLOOKUP(A348, M_S3, 3, FALSE), "")</f>
        <v/>
      </c>
      <c r="I348" t="str">
        <f>IF('Production &amp; Circular'!B346=0, "", 'Production &amp; Circular'!B346 * (1 - 'Production &amp; Circular'!D346))</f>
        <v/>
      </c>
    </row>
    <row r="349" spans="2:9">
      <c r="B349" t="str">
        <f>IFERROR(VLOOKUP(A349, M_S3, 2, FALSE), "")</f>
        <v/>
      </c>
      <c r="D349" t="str">
        <f>IFERROR(VLOOKUP(A349, M_S3, 3, FALSE), "")</f>
        <v/>
      </c>
      <c r="I349" t="str">
        <f>IF('Production &amp; Circular'!B347=0, "", 'Production &amp; Circular'!B347 * (1 - 'Production &amp; Circular'!D347))</f>
        <v/>
      </c>
    </row>
    <row r="350" spans="2:9">
      <c r="B350" t="str">
        <f>IFERROR(VLOOKUP(A350, M_S3, 2, FALSE), "")</f>
        <v/>
      </c>
      <c r="D350" t="str">
        <f>IFERROR(VLOOKUP(A350, M_S3, 3, FALSE), "")</f>
        <v/>
      </c>
      <c r="I350" t="str">
        <f>IF('Production &amp; Circular'!B348=0, "", 'Production &amp; Circular'!B348 * (1 - 'Production &amp; Circular'!D348))</f>
        <v/>
      </c>
    </row>
    <row r="351" spans="2:9">
      <c r="B351" t="str">
        <f>IFERROR(VLOOKUP(A351, M_S3, 2, FALSE), "")</f>
        <v/>
      </c>
      <c r="D351" t="str">
        <f>IFERROR(VLOOKUP(A351, M_S3, 3, FALSE), "")</f>
        <v/>
      </c>
      <c r="I351" t="str">
        <f>IF('Production &amp; Circular'!B349=0, "", 'Production &amp; Circular'!B349 * (1 - 'Production &amp; Circular'!D349))</f>
        <v/>
      </c>
    </row>
    <row r="352" spans="2:9">
      <c r="B352" t="str">
        <f>IFERROR(VLOOKUP(A352, M_S3, 2, FALSE), "")</f>
        <v/>
      </c>
      <c r="D352" t="str">
        <f>IFERROR(VLOOKUP(A352, M_S3, 3, FALSE), "")</f>
        <v/>
      </c>
      <c r="I352" t="str">
        <f>IF('Production &amp; Circular'!B350=0, "", 'Production &amp; Circular'!B350 * (1 - 'Production &amp; Circular'!D350))</f>
        <v/>
      </c>
    </row>
    <row r="353" spans="2:9">
      <c r="B353" t="str">
        <f>IFERROR(VLOOKUP(A353, M_S3, 2, FALSE), "")</f>
        <v/>
      </c>
      <c r="D353" t="str">
        <f>IFERROR(VLOOKUP(A353, M_S3, 3, FALSE), "")</f>
        <v/>
      </c>
      <c r="I353" t="str">
        <f>IF('Production &amp; Circular'!B351=0, "", 'Production &amp; Circular'!B351 * (1 - 'Production &amp; Circular'!D351))</f>
        <v/>
      </c>
    </row>
    <row r="354" spans="2:9">
      <c r="B354" t="str">
        <f>IFERROR(VLOOKUP(A354, M_S3, 2, FALSE), "")</f>
        <v/>
      </c>
      <c r="D354" t="str">
        <f>IFERROR(VLOOKUP(A354, M_S3, 3, FALSE), "")</f>
        <v/>
      </c>
      <c r="I354" t="str">
        <f>IF('Production &amp; Circular'!B352=0, "", 'Production &amp; Circular'!B352 * (1 - 'Production &amp; Circular'!D352))</f>
        <v/>
      </c>
    </row>
    <row r="355" spans="2:9">
      <c r="B355" t="str">
        <f>IFERROR(VLOOKUP(A355, M_S3, 2, FALSE), "")</f>
        <v/>
      </c>
      <c r="D355" t="str">
        <f>IFERROR(VLOOKUP(A355, M_S3, 3, FALSE), "")</f>
        <v/>
      </c>
      <c r="I355" t="str">
        <f>IF('Production &amp; Circular'!B353=0, "", 'Production &amp; Circular'!B353 * (1 - 'Production &amp; Circular'!D353))</f>
        <v/>
      </c>
    </row>
    <row r="356" spans="2:9">
      <c r="B356" t="str">
        <f>IFERROR(VLOOKUP(A356, M_S3, 2, FALSE), "")</f>
        <v/>
      </c>
      <c r="D356" t="str">
        <f>IFERROR(VLOOKUP(A356, M_S3, 3, FALSE), "")</f>
        <v/>
      </c>
      <c r="I356" t="str">
        <f>IF('Production &amp; Circular'!B354=0, "", 'Production &amp; Circular'!B354 * (1 - 'Production &amp; Circular'!D354))</f>
        <v/>
      </c>
    </row>
    <row r="357" spans="2:9">
      <c r="B357" t="str">
        <f>IFERROR(VLOOKUP(A357, M_S3, 2, FALSE), "")</f>
        <v/>
      </c>
      <c r="D357" t="str">
        <f>IFERROR(VLOOKUP(A357, M_S3, 3, FALSE), "")</f>
        <v/>
      </c>
      <c r="I357" t="str">
        <f>IF('Production &amp; Circular'!B355=0, "", 'Production &amp; Circular'!B355 * (1 - 'Production &amp; Circular'!D355))</f>
        <v/>
      </c>
    </row>
    <row r="358" spans="2:9">
      <c r="B358" t="str">
        <f>IFERROR(VLOOKUP(A358, M_S3, 2, FALSE), "")</f>
        <v/>
      </c>
      <c r="D358" t="str">
        <f>IFERROR(VLOOKUP(A358, M_S3, 3, FALSE), "")</f>
        <v/>
      </c>
      <c r="I358" t="str">
        <f>IF('Production &amp; Circular'!B356=0, "", 'Production &amp; Circular'!B356 * (1 - 'Production &amp; Circular'!D356))</f>
        <v/>
      </c>
    </row>
    <row r="359" spans="2:9">
      <c r="B359" t="str">
        <f>IFERROR(VLOOKUP(A359, M_S3, 2, FALSE), "")</f>
        <v/>
      </c>
      <c r="D359" t="str">
        <f>IFERROR(VLOOKUP(A359, M_S3, 3, FALSE), "")</f>
        <v/>
      </c>
      <c r="I359" t="str">
        <f>IF('Production &amp; Circular'!B357=0, "", 'Production &amp; Circular'!B357 * (1 - 'Production &amp; Circular'!D357))</f>
        <v/>
      </c>
    </row>
    <row r="360" spans="2:9">
      <c r="B360" t="str">
        <f>IFERROR(VLOOKUP(A360, M_S3, 2, FALSE), "")</f>
        <v/>
      </c>
      <c r="D360" t="str">
        <f>IFERROR(VLOOKUP(A360, M_S3, 3, FALSE), "")</f>
        <v/>
      </c>
      <c r="I360" t="str">
        <f>IF('Production &amp; Circular'!B358=0, "", 'Production &amp; Circular'!B358 * (1 - 'Production &amp; Circular'!D358))</f>
        <v/>
      </c>
    </row>
    <row r="361" spans="2:9">
      <c r="B361" t="str">
        <f>IFERROR(VLOOKUP(A361, M_S3, 2, FALSE), "")</f>
        <v/>
      </c>
      <c r="D361" t="str">
        <f>IFERROR(VLOOKUP(A361, M_S3, 3, FALSE), "")</f>
        <v/>
      </c>
      <c r="I361" t="str">
        <f>IF('Production &amp; Circular'!B359=0, "", 'Production &amp; Circular'!B359 * (1 - 'Production &amp; Circular'!D359))</f>
        <v/>
      </c>
    </row>
    <row r="362" spans="2:9">
      <c r="B362" t="str">
        <f>IFERROR(VLOOKUP(A362, M_S3, 2, FALSE), "")</f>
        <v/>
      </c>
      <c r="D362" t="str">
        <f>IFERROR(VLOOKUP(A362, M_S3, 3, FALSE), "")</f>
        <v/>
      </c>
      <c r="I362" t="str">
        <f>IF('Production &amp; Circular'!B360=0, "", 'Production &amp; Circular'!B360 * (1 - 'Production &amp; Circular'!D360))</f>
        <v/>
      </c>
    </row>
    <row r="363" spans="2:9">
      <c r="B363" t="str">
        <f>IFERROR(VLOOKUP(A363, M_S3, 2, FALSE), "")</f>
        <v/>
      </c>
      <c r="D363" t="str">
        <f>IFERROR(VLOOKUP(A363, M_S3, 3, FALSE), "")</f>
        <v/>
      </c>
      <c r="I363" t="str">
        <f>IF('Production &amp; Circular'!B361=0, "", 'Production &amp; Circular'!B361 * (1 - 'Production &amp; Circular'!D361))</f>
        <v/>
      </c>
    </row>
    <row r="364" spans="2:9">
      <c r="B364" t="str">
        <f>IFERROR(VLOOKUP(A364, M_S3, 2, FALSE), "")</f>
        <v/>
      </c>
      <c r="D364" t="str">
        <f>IFERROR(VLOOKUP(A364, M_S3, 3, FALSE), "")</f>
        <v/>
      </c>
      <c r="I364" t="str">
        <f>IF('Production &amp; Circular'!B362=0, "", 'Production &amp; Circular'!B362 * (1 - 'Production &amp; Circular'!D362))</f>
        <v/>
      </c>
    </row>
    <row r="365" spans="2:9">
      <c r="B365" t="str">
        <f>IFERROR(VLOOKUP(A365, M_S3, 2, FALSE), "")</f>
        <v/>
      </c>
      <c r="D365" t="str">
        <f>IFERROR(VLOOKUP(A365, M_S3, 3, FALSE), "")</f>
        <v/>
      </c>
      <c r="I365" t="str">
        <f>IF('Production &amp; Circular'!B363=0, "", 'Production &amp; Circular'!B363 * (1 - 'Production &amp; Circular'!D363))</f>
        <v/>
      </c>
    </row>
    <row r="366" spans="2:9">
      <c r="B366" t="str">
        <f>IFERROR(VLOOKUP(A366, M_S3, 2, FALSE), "")</f>
        <v/>
      </c>
      <c r="D366" t="str">
        <f>IFERROR(VLOOKUP(A366, M_S3, 3, FALSE), "")</f>
        <v/>
      </c>
      <c r="I366" t="str">
        <f>IF('Production &amp; Circular'!B364=0, "", 'Production &amp; Circular'!B364 * (1 - 'Production &amp; Circular'!D364))</f>
        <v/>
      </c>
    </row>
    <row r="367" spans="2:9">
      <c r="B367" t="str">
        <f>IFERROR(VLOOKUP(A367, M_S3, 2, FALSE), "")</f>
        <v/>
      </c>
      <c r="D367" t="str">
        <f>IFERROR(VLOOKUP(A367, M_S3, 3, FALSE), "")</f>
        <v/>
      </c>
      <c r="I367" t="str">
        <f>IF('Production &amp; Circular'!B365=0, "", 'Production &amp; Circular'!B365 * (1 - 'Production &amp; Circular'!D365))</f>
        <v/>
      </c>
    </row>
    <row r="368" spans="2:9">
      <c r="B368" t="str">
        <f>IFERROR(VLOOKUP(A368, M_S3, 2, FALSE), "")</f>
        <v/>
      </c>
      <c r="D368" t="str">
        <f>IFERROR(VLOOKUP(A368, M_S3, 3, FALSE), "")</f>
        <v/>
      </c>
      <c r="I368" t="str">
        <f>IF('Production &amp; Circular'!B366=0, "", 'Production &amp; Circular'!B366 * (1 - 'Production &amp; Circular'!D366))</f>
        <v/>
      </c>
    </row>
    <row r="369" spans="2:9">
      <c r="B369" t="str">
        <f>IFERROR(VLOOKUP(A369, M_S3, 2, FALSE), "")</f>
        <v/>
      </c>
      <c r="D369" t="str">
        <f>IFERROR(VLOOKUP(A369, M_S3, 3, FALSE), "")</f>
        <v/>
      </c>
      <c r="I369" t="str">
        <f>IF('Production &amp; Circular'!B367=0, "", 'Production &amp; Circular'!B367 * (1 - 'Production &amp; Circular'!D367))</f>
        <v/>
      </c>
    </row>
    <row r="370" spans="2:9">
      <c r="B370" t="str">
        <f>IFERROR(VLOOKUP(A370, M_S3, 2, FALSE), "")</f>
        <v/>
      </c>
      <c r="D370" t="str">
        <f>IFERROR(VLOOKUP(A370, M_S3, 3, FALSE), "")</f>
        <v/>
      </c>
      <c r="I370" t="str">
        <f>IF('Production &amp; Circular'!B368=0, "", 'Production &amp; Circular'!B368 * (1 - 'Production &amp; Circular'!D368))</f>
        <v/>
      </c>
    </row>
    <row r="371" spans="2:9">
      <c r="B371" t="str">
        <f>IFERROR(VLOOKUP(A371, M_S3, 2, FALSE), "")</f>
        <v/>
      </c>
      <c r="D371" t="str">
        <f>IFERROR(VLOOKUP(A371, M_S3, 3, FALSE), "")</f>
        <v/>
      </c>
      <c r="I371" t="str">
        <f>IF('Production &amp; Circular'!B369=0, "", 'Production &amp; Circular'!B369 * (1 - 'Production &amp; Circular'!D369))</f>
        <v/>
      </c>
    </row>
    <row r="372" spans="2:9">
      <c r="B372" t="str">
        <f>IFERROR(VLOOKUP(A372, M_S3, 2, FALSE), "")</f>
        <v/>
      </c>
      <c r="D372" t="str">
        <f>IFERROR(VLOOKUP(A372, M_S3, 3, FALSE), "")</f>
        <v/>
      </c>
      <c r="I372" t="str">
        <f>IF('Production &amp; Circular'!B370=0, "", 'Production &amp; Circular'!B370 * (1 - 'Production &amp; Circular'!D370))</f>
        <v/>
      </c>
    </row>
    <row r="373" spans="2:9">
      <c r="B373" t="str">
        <f>IFERROR(VLOOKUP(A373, M_S3, 2, FALSE), "")</f>
        <v/>
      </c>
      <c r="D373" t="str">
        <f>IFERROR(VLOOKUP(A373, M_S3, 3, FALSE), "")</f>
        <v/>
      </c>
      <c r="I373" t="str">
        <f>IF('Production &amp; Circular'!B371=0, "", 'Production &amp; Circular'!B371 * (1 - 'Production &amp; Circular'!D371))</f>
        <v/>
      </c>
    </row>
    <row r="374" spans="2:9">
      <c r="B374" t="str">
        <f>IFERROR(VLOOKUP(A374, M_S3, 2, FALSE), "")</f>
        <v/>
      </c>
      <c r="D374" t="str">
        <f>IFERROR(VLOOKUP(A374, M_S3, 3, FALSE), "")</f>
        <v/>
      </c>
      <c r="I374" t="str">
        <f>IF('Production &amp; Circular'!B372=0, "", 'Production &amp; Circular'!B372 * (1 - 'Production &amp; Circular'!D372))</f>
        <v/>
      </c>
    </row>
    <row r="375" spans="2:9">
      <c r="B375" t="str">
        <f>IFERROR(VLOOKUP(A375, M_S3, 2, FALSE), "")</f>
        <v/>
      </c>
      <c r="D375" t="str">
        <f>IFERROR(VLOOKUP(A375, M_S3, 3, FALSE), "")</f>
        <v/>
      </c>
      <c r="I375" t="str">
        <f>IF('Production &amp; Circular'!B373=0, "", 'Production &amp; Circular'!B373 * (1 - 'Production &amp; Circular'!D373))</f>
        <v/>
      </c>
    </row>
    <row r="376" spans="2:9">
      <c r="B376" t="str">
        <f>IFERROR(VLOOKUP(A376, M_S3, 2, FALSE), "")</f>
        <v/>
      </c>
      <c r="D376" t="str">
        <f>IFERROR(VLOOKUP(A376, M_S3, 3, FALSE), "")</f>
        <v/>
      </c>
      <c r="I376" t="str">
        <f>IF('Production &amp; Circular'!B374=0, "", 'Production &amp; Circular'!B374 * (1 - 'Production &amp; Circular'!D374))</f>
        <v/>
      </c>
    </row>
    <row r="377" spans="2:9">
      <c r="B377" t="str">
        <f>IFERROR(VLOOKUP(A377, M_S3, 2, FALSE), "")</f>
        <v/>
      </c>
      <c r="D377" t="str">
        <f>IFERROR(VLOOKUP(A377, M_S3, 3, FALSE), "")</f>
        <v/>
      </c>
      <c r="I377" t="str">
        <f>IF('Production &amp; Circular'!B375=0, "", 'Production &amp; Circular'!B375 * (1 - 'Production &amp; Circular'!D375))</f>
        <v/>
      </c>
    </row>
    <row r="378" spans="2:9">
      <c r="B378" t="str">
        <f>IFERROR(VLOOKUP(A378, M_S3, 2, FALSE), "")</f>
        <v/>
      </c>
      <c r="D378" t="str">
        <f>IFERROR(VLOOKUP(A378, M_S3, 3, FALSE), "")</f>
        <v/>
      </c>
      <c r="I378" t="str">
        <f>IF('Production &amp; Circular'!B376=0, "", 'Production &amp; Circular'!B376 * (1 - 'Production &amp; Circular'!D376))</f>
        <v/>
      </c>
    </row>
    <row r="379" spans="2:9">
      <c r="B379" t="str">
        <f>IFERROR(VLOOKUP(A379, M_S3, 2, FALSE), "")</f>
        <v/>
      </c>
      <c r="D379" t="str">
        <f>IFERROR(VLOOKUP(A379, M_S3, 3, FALSE), "")</f>
        <v/>
      </c>
      <c r="I379" t="str">
        <f>IF('Production &amp; Circular'!B377=0, "", 'Production &amp; Circular'!B377 * (1 - 'Production &amp; Circular'!D377))</f>
        <v/>
      </c>
    </row>
    <row r="380" spans="2:9">
      <c r="B380" t="str">
        <f>IFERROR(VLOOKUP(A380, M_S3, 2, FALSE), "")</f>
        <v/>
      </c>
      <c r="D380" t="str">
        <f>IFERROR(VLOOKUP(A380, M_S3, 3, FALSE), "")</f>
        <v/>
      </c>
      <c r="I380" t="str">
        <f>IF('Production &amp; Circular'!B378=0, "", 'Production &amp; Circular'!B378 * (1 - 'Production &amp; Circular'!D378))</f>
        <v/>
      </c>
    </row>
    <row r="381" spans="2:9">
      <c r="B381" t="str">
        <f>IFERROR(VLOOKUP(A381, M_S3, 2, FALSE), "")</f>
        <v/>
      </c>
      <c r="D381" t="str">
        <f>IFERROR(VLOOKUP(A381, M_S3, 3, FALSE), "")</f>
        <v/>
      </c>
      <c r="I381" t="str">
        <f>IF('Production &amp; Circular'!B379=0, "", 'Production &amp; Circular'!B379 * (1 - 'Production &amp; Circular'!D379))</f>
        <v/>
      </c>
    </row>
    <row r="382" spans="2:9">
      <c r="B382" t="str">
        <f>IFERROR(VLOOKUP(A382, M_S3, 2, FALSE), "")</f>
        <v/>
      </c>
      <c r="D382" t="str">
        <f>IFERROR(VLOOKUP(A382, M_S3, 3, FALSE), "")</f>
        <v/>
      </c>
      <c r="I382" t="str">
        <f>IF('Production &amp; Circular'!B380=0, "", 'Production &amp; Circular'!B380 * (1 - 'Production &amp; Circular'!D380))</f>
        <v/>
      </c>
    </row>
    <row r="383" spans="2:9">
      <c r="B383" t="str">
        <f>IFERROR(VLOOKUP(A383, M_S3, 2, FALSE), "")</f>
        <v/>
      </c>
      <c r="D383" t="str">
        <f>IFERROR(VLOOKUP(A383, M_S3, 3, FALSE), "")</f>
        <v/>
      </c>
      <c r="I383" t="str">
        <f>IF('Production &amp; Circular'!B381=0, "", 'Production &amp; Circular'!B381 * (1 - 'Production &amp; Circular'!D381))</f>
        <v/>
      </c>
    </row>
    <row r="384" spans="2:9">
      <c r="B384" t="str">
        <f>IFERROR(VLOOKUP(A384, M_S3, 2, FALSE), "")</f>
        <v/>
      </c>
      <c r="D384" t="str">
        <f>IFERROR(VLOOKUP(A384, M_S3, 3, FALSE), "")</f>
        <v/>
      </c>
      <c r="I384" t="str">
        <f>IF('Production &amp; Circular'!B382=0, "", 'Production &amp; Circular'!B382 * (1 - 'Production &amp; Circular'!D382))</f>
        <v/>
      </c>
    </row>
    <row r="385" spans="2:9">
      <c r="B385" t="str">
        <f>IFERROR(VLOOKUP(A385, M_S3, 2, FALSE), "")</f>
        <v/>
      </c>
      <c r="D385" t="str">
        <f>IFERROR(VLOOKUP(A385, M_S3, 3, FALSE), "")</f>
        <v/>
      </c>
      <c r="I385" t="str">
        <f>IF('Production &amp; Circular'!B383=0, "", 'Production &amp; Circular'!B383 * (1 - 'Production &amp; Circular'!D383))</f>
        <v/>
      </c>
    </row>
    <row r="386" spans="2:9">
      <c r="B386" t="str">
        <f>IFERROR(VLOOKUP(A386, M_S3, 2, FALSE), "")</f>
        <v/>
      </c>
      <c r="D386" t="str">
        <f>IFERROR(VLOOKUP(A386, M_S3, 3, FALSE), "")</f>
        <v/>
      </c>
      <c r="I386" t="str">
        <f>IF('Production &amp; Circular'!B384=0, "", 'Production &amp; Circular'!B384 * (1 - 'Production &amp; Circular'!D384))</f>
        <v/>
      </c>
    </row>
    <row r="387" spans="2:9">
      <c r="B387" t="str">
        <f>IFERROR(VLOOKUP(A387, M_S3, 2, FALSE), "")</f>
        <v/>
      </c>
      <c r="D387" t="str">
        <f>IFERROR(VLOOKUP(A387, M_S3, 3, FALSE), "")</f>
        <v/>
      </c>
      <c r="I387" t="str">
        <f>IF('Production &amp; Circular'!B385=0, "", 'Production &amp; Circular'!B385 * (1 - 'Production &amp; Circular'!D385))</f>
        <v/>
      </c>
    </row>
    <row r="388" spans="2:9">
      <c r="B388" t="str">
        <f>IFERROR(VLOOKUP(A388, M_S3, 2, FALSE), "")</f>
        <v/>
      </c>
      <c r="D388" t="str">
        <f>IFERROR(VLOOKUP(A388, M_S3, 3, FALSE), "")</f>
        <v/>
      </c>
      <c r="I388" t="str">
        <f>IF('Production &amp; Circular'!B386=0, "", 'Production &amp; Circular'!B386 * (1 - 'Production &amp; Circular'!D386))</f>
        <v/>
      </c>
    </row>
    <row r="389" spans="2:9">
      <c r="B389" t="str">
        <f>IFERROR(VLOOKUP(A389, M_S3, 2, FALSE), "")</f>
        <v/>
      </c>
      <c r="D389" t="str">
        <f>IFERROR(VLOOKUP(A389, M_S3, 3, FALSE), "")</f>
        <v/>
      </c>
      <c r="I389" t="str">
        <f>IF('Production &amp; Circular'!B387=0, "", 'Production &amp; Circular'!B387 * (1 - 'Production &amp; Circular'!D387))</f>
        <v/>
      </c>
    </row>
    <row r="390" spans="2:9">
      <c r="B390" t="str">
        <f>IFERROR(VLOOKUP(A390, M_S3, 2, FALSE), "")</f>
        <v/>
      </c>
      <c r="D390" t="str">
        <f>IFERROR(VLOOKUP(A390, M_S3, 3, FALSE), "")</f>
        <v/>
      </c>
      <c r="I390" t="str">
        <f>IF('Production &amp; Circular'!B388=0, "", 'Production &amp; Circular'!B388 * (1 - 'Production &amp; Circular'!D388))</f>
        <v/>
      </c>
    </row>
    <row r="391" spans="2:9">
      <c r="B391" t="str">
        <f>IFERROR(VLOOKUP(A391, M_S3, 2, FALSE), "")</f>
        <v/>
      </c>
      <c r="D391" t="str">
        <f>IFERROR(VLOOKUP(A391, M_S3, 3, FALSE), "")</f>
        <v/>
      </c>
      <c r="I391" t="str">
        <f>IF('Production &amp; Circular'!B389=0, "", 'Production &amp; Circular'!B389 * (1 - 'Production &amp; Circular'!D389))</f>
        <v/>
      </c>
    </row>
    <row r="392" spans="2:9">
      <c r="B392" t="str">
        <f>IFERROR(VLOOKUP(A392, M_S3, 2, FALSE), "")</f>
        <v/>
      </c>
      <c r="D392" t="str">
        <f>IFERROR(VLOOKUP(A392, M_S3, 3, FALSE), "")</f>
        <v/>
      </c>
      <c r="I392" t="str">
        <f>IF('Production &amp; Circular'!B390=0, "", 'Production &amp; Circular'!B390 * (1 - 'Production &amp; Circular'!D390))</f>
        <v/>
      </c>
    </row>
    <row r="393" spans="2:9">
      <c r="B393" t="str">
        <f>IFERROR(VLOOKUP(A393, M_S3, 2, FALSE), "")</f>
        <v/>
      </c>
      <c r="D393" t="str">
        <f>IFERROR(VLOOKUP(A393, M_S3, 3, FALSE), "")</f>
        <v/>
      </c>
      <c r="I393" t="str">
        <f>IF('Production &amp; Circular'!B391=0, "", 'Production &amp; Circular'!B391 * (1 - 'Production &amp; Circular'!D391))</f>
        <v/>
      </c>
    </row>
    <row r="394" spans="2:9">
      <c r="B394" t="str">
        <f>IFERROR(VLOOKUP(A394, M_S3, 2, FALSE), "")</f>
        <v/>
      </c>
      <c r="D394" t="str">
        <f>IFERROR(VLOOKUP(A394, M_S3, 3, FALSE), "")</f>
        <v/>
      </c>
      <c r="I394" t="str">
        <f>IF('Production &amp; Circular'!B392=0, "", 'Production &amp; Circular'!B392 * (1 - 'Production &amp; Circular'!D392))</f>
        <v/>
      </c>
    </row>
    <row r="395" spans="2:9">
      <c r="B395" t="str">
        <f>IFERROR(VLOOKUP(A395, M_S3, 2, FALSE), "")</f>
        <v/>
      </c>
      <c r="D395" t="str">
        <f>IFERROR(VLOOKUP(A395, M_S3, 3, FALSE), "")</f>
        <v/>
      </c>
      <c r="I395" t="str">
        <f>IF('Production &amp; Circular'!B393=0, "", 'Production &amp; Circular'!B393 * (1 - 'Production &amp; Circular'!D393))</f>
        <v/>
      </c>
    </row>
    <row r="396" spans="2:9">
      <c r="B396" t="str">
        <f>IFERROR(VLOOKUP(A396, M_S3, 2, FALSE), "")</f>
        <v/>
      </c>
      <c r="D396" t="str">
        <f>IFERROR(VLOOKUP(A396, M_S3, 3, FALSE), "")</f>
        <v/>
      </c>
      <c r="I396" t="str">
        <f>IF('Production &amp; Circular'!B394=0, "", 'Production &amp; Circular'!B394 * (1 - 'Production &amp; Circular'!D394))</f>
        <v/>
      </c>
    </row>
    <row r="397" spans="2:9">
      <c r="B397" t="str">
        <f>IFERROR(VLOOKUP(A397, M_S3, 2, FALSE), "")</f>
        <v/>
      </c>
      <c r="D397" t="str">
        <f>IFERROR(VLOOKUP(A397, M_S3, 3, FALSE), "")</f>
        <v/>
      </c>
      <c r="I397" t="str">
        <f>IF('Production &amp; Circular'!B395=0, "", 'Production &amp; Circular'!B395 * (1 - 'Production &amp; Circular'!D395))</f>
        <v/>
      </c>
    </row>
    <row r="398" spans="2:9">
      <c r="B398" t="str">
        <f>IFERROR(VLOOKUP(A398, M_S3, 2, FALSE), "")</f>
        <v/>
      </c>
      <c r="D398" t="str">
        <f>IFERROR(VLOOKUP(A398, M_S3, 3, FALSE), "")</f>
        <v/>
      </c>
      <c r="I398" t="str">
        <f>IF('Production &amp; Circular'!B396=0, "", 'Production &amp; Circular'!B396 * (1 - 'Production &amp; Circular'!D396))</f>
        <v/>
      </c>
    </row>
    <row r="399" spans="2:9">
      <c r="B399" t="str">
        <f>IFERROR(VLOOKUP(A399, M_S3, 2, FALSE), "")</f>
        <v/>
      </c>
      <c r="D399" t="str">
        <f>IFERROR(VLOOKUP(A399, M_S3, 3, FALSE), "")</f>
        <v/>
      </c>
      <c r="I399" t="str">
        <f>IF('Production &amp; Circular'!B397=0, "", 'Production &amp; Circular'!B397 * (1 - 'Production &amp; Circular'!D397))</f>
        <v/>
      </c>
    </row>
    <row r="400" spans="2:9">
      <c r="B400" t="str">
        <f>IFERROR(VLOOKUP(A400, M_S3, 2, FALSE), "")</f>
        <v/>
      </c>
      <c r="D400" t="str">
        <f>IFERROR(VLOOKUP(A400, M_S3, 3, FALSE), "")</f>
        <v/>
      </c>
      <c r="I400" t="str">
        <f>IF('Production &amp; Circular'!B398=0, "", 'Production &amp; Circular'!B398 * (1 - 'Production &amp; Circular'!D398))</f>
        <v/>
      </c>
    </row>
    <row r="401" spans="2:9">
      <c r="B401" t="str">
        <f>IFERROR(VLOOKUP(A401, M_S3, 2, FALSE), "")</f>
        <v/>
      </c>
      <c r="D401" t="str">
        <f>IFERROR(VLOOKUP(A401, M_S3, 3, FALSE), "")</f>
        <v/>
      </c>
      <c r="I401" t="str">
        <f>IF('Production &amp; Circular'!B399=0, "", 'Production &amp; Circular'!B399 * (1 - 'Production &amp; Circular'!D399))</f>
        <v/>
      </c>
    </row>
    <row r="402" spans="2:9">
      <c r="B402" t="str">
        <f>IFERROR(VLOOKUP(A402, M_S3, 2, FALSE), "")</f>
        <v/>
      </c>
      <c r="D402" t="str">
        <f>IFERROR(VLOOKUP(A402, M_S3, 3, FALSE), "")</f>
        <v/>
      </c>
      <c r="I402" t="str">
        <f>IF('Production &amp; Circular'!B400=0, "", 'Production &amp; Circular'!B400 * (1 - 'Production &amp; Circular'!D400))</f>
        <v/>
      </c>
    </row>
    <row r="403" spans="2:9">
      <c r="B403" t="str">
        <f>IFERROR(VLOOKUP(A403, M_S3, 2, FALSE), "")</f>
        <v/>
      </c>
      <c r="D403" t="str">
        <f>IFERROR(VLOOKUP(A403, M_S3, 3, FALSE), "")</f>
        <v/>
      </c>
      <c r="I403" t="str">
        <f>IF('Production &amp; Circular'!B401=0, "", 'Production &amp; Circular'!B401 * (1 - 'Production &amp; Circular'!D401))</f>
        <v/>
      </c>
    </row>
    <row r="404" spans="2:9">
      <c r="B404" t="str">
        <f>IFERROR(VLOOKUP(A404, M_S3, 2, FALSE), "")</f>
        <v/>
      </c>
      <c r="D404" t="str">
        <f>IFERROR(VLOOKUP(A404, M_S3, 3, FALSE), "")</f>
        <v/>
      </c>
      <c r="I404" t="str">
        <f>IF('Production &amp; Circular'!B402=0, "", 'Production &amp; Circular'!B402 * (1 - 'Production &amp; Circular'!D402))</f>
        <v/>
      </c>
    </row>
    <row r="405" spans="2:9">
      <c r="B405" t="str">
        <f>IFERROR(VLOOKUP(A405, M_S3, 2, FALSE), "")</f>
        <v/>
      </c>
      <c r="D405" t="str">
        <f>IFERROR(VLOOKUP(A405, M_S3, 3, FALSE), "")</f>
        <v/>
      </c>
      <c r="I405" t="str">
        <f>IF('Production &amp; Circular'!B403=0, "", 'Production &amp; Circular'!B403 * (1 - 'Production &amp; Circular'!D403))</f>
        <v/>
      </c>
    </row>
    <row r="406" spans="2:9">
      <c r="B406" t="str">
        <f>IFERROR(VLOOKUP(A406, M_S3, 2, FALSE), "")</f>
        <v/>
      </c>
      <c r="D406" t="str">
        <f>IFERROR(VLOOKUP(A406, M_S3, 3, FALSE), "")</f>
        <v/>
      </c>
      <c r="I406" t="str">
        <f>IF('Production &amp; Circular'!B404=0, "", 'Production &amp; Circular'!B404 * (1 - 'Production &amp; Circular'!D404))</f>
        <v/>
      </c>
    </row>
    <row r="407" spans="2:9">
      <c r="B407" t="str">
        <f>IFERROR(VLOOKUP(A407, M_S3, 2, FALSE), "")</f>
        <v/>
      </c>
      <c r="D407" t="str">
        <f>IFERROR(VLOOKUP(A407, M_S3, 3, FALSE), "")</f>
        <v/>
      </c>
      <c r="I407" t="str">
        <f>IF('Production &amp; Circular'!B405=0, "", 'Production &amp; Circular'!B405 * (1 - 'Production &amp; Circular'!D405))</f>
        <v/>
      </c>
    </row>
    <row r="408" spans="2:9">
      <c r="B408" t="str">
        <f>IFERROR(VLOOKUP(A408, M_S3, 2, FALSE), "")</f>
        <v/>
      </c>
      <c r="D408" t="str">
        <f>IFERROR(VLOOKUP(A408, M_S3, 3, FALSE), "")</f>
        <v/>
      </c>
      <c r="I408" t="str">
        <f>IF('Production &amp; Circular'!B406=0, "", 'Production &amp; Circular'!B406 * (1 - 'Production &amp; Circular'!D406))</f>
        <v/>
      </c>
    </row>
    <row r="409" spans="2:9">
      <c r="B409" t="str">
        <f>IFERROR(VLOOKUP(A409, M_S3, 2, FALSE), "")</f>
        <v/>
      </c>
      <c r="D409" t="str">
        <f>IFERROR(VLOOKUP(A409, M_S3, 3, FALSE), "")</f>
        <v/>
      </c>
      <c r="I409" t="str">
        <f>IF('Production &amp; Circular'!B407=0, "", 'Production &amp; Circular'!B407 * (1 - 'Production &amp; Circular'!D407))</f>
        <v/>
      </c>
    </row>
    <row r="410" spans="2:9">
      <c r="B410" t="str">
        <f>IFERROR(VLOOKUP(A410, M_S3, 2, FALSE), "")</f>
        <v/>
      </c>
      <c r="D410" t="str">
        <f>IFERROR(VLOOKUP(A410, M_S3, 3, FALSE), "")</f>
        <v/>
      </c>
      <c r="I410" t="str">
        <f>IF('Production &amp; Circular'!B408=0, "", 'Production &amp; Circular'!B408 * (1 - 'Production &amp; Circular'!D408))</f>
        <v/>
      </c>
    </row>
    <row r="411" spans="2:9">
      <c r="B411" t="str">
        <f>IFERROR(VLOOKUP(A411, M_S3, 2, FALSE), "")</f>
        <v/>
      </c>
      <c r="D411" t="str">
        <f>IFERROR(VLOOKUP(A411, M_S3, 3, FALSE), "")</f>
        <v/>
      </c>
      <c r="I411" t="str">
        <f>IF('Production &amp; Circular'!B409=0, "", 'Production &amp; Circular'!B409 * (1 - 'Production &amp; Circular'!D409))</f>
        <v/>
      </c>
    </row>
    <row r="412" spans="2:9">
      <c r="B412" t="str">
        <f>IFERROR(VLOOKUP(A412, M_S3, 2, FALSE), "")</f>
        <v/>
      </c>
      <c r="D412" t="str">
        <f>IFERROR(VLOOKUP(A412, M_S3, 3, FALSE), "")</f>
        <v/>
      </c>
      <c r="I412" t="str">
        <f>IF('Production &amp; Circular'!B410=0, "", 'Production &amp; Circular'!B410 * (1 - 'Production &amp; Circular'!D410))</f>
        <v/>
      </c>
    </row>
    <row r="413" spans="2:9">
      <c r="B413" t="str">
        <f>IFERROR(VLOOKUP(A413, M_S3, 2, FALSE), "")</f>
        <v/>
      </c>
      <c r="D413" t="str">
        <f>IFERROR(VLOOKUP(A413, M_S3, 3, FALSE), "")</f>
        <v/>
      </c>
      <c r="I413" t="str">
        <f>IF('Production &amp; Circular'!B411=0, "", 'Production &amp; Circular'!B411 * (1 - 'Production &amp; Circular'!D411))</f>
        <v/>
      </c>
    </row>
    <row r="414" spans="2:9">
      <c r="B414" t="str">
        <f>IFERROR(VLOOKUP(A414, M_S3, 2, FALSE), "")</f>
        <v/>
      </c>
      <c r="D414" t="str">
        <f>IFERROR(VLOOKUP(A414, M_S3, 3, FALSE), "")</f>
        <v/>
      </c>
      <c r="I414" t="str">
        <f>IF('Production &amp; Circular'!B412=0, "", 'Production &amp; Circular'!B412 * (1 - 'Production &amp; Circular'!D412))</f>
        <v/>
      </c>
    </row>
    <row r="415" spans="2:9">
      <c r="B415" t="str">
        <f>IFERROR(VLOOKUP(A415, M_S3, 2, FALSE), "")</f>
        <v/>
      </c>
      <c r="D415" t="str">
        <f>IFERROR(VLOOKUP(A415, M_S3, 3, FALSE), "")</f>
        <v/>
      </c>
      <c r="I415" t="str">
        <f>IF('Production &amp; Circular'!B413=0, "", 'Production &amp; Circular'!B413 * (1 - 'Production &amp; Circular'!D413))</f>
        <v/>
      </c>
    </row>
    <row r="416" spans="2:9">
      <c r="B416" t="str">
        <f>IFERROR(VLOOKUP(A416, M_S3, 2, FALSE), "")</f>
        <v/>
      </c>
      <c r="D416" t="str">
        <f>IFERROR(VLOOKUP(A416, M_S3, 3, FALSE), "")</f>
        <v/>
      </c>
      <c r="I416" t="str">
        <f>IF('Production &amp; Circular'!B414=0, "", 'Production &amp; Circular'!B414 * (1 - 'Production &amp; Circular'!D414))</f>
        <v/>
      </c>
    </row>
    <row r="417" spans="2:9">
      <c r="B417" t="str">
        <f>IFERROR(VLOOKUP(A417, M_S3, 2, FALSE), "")</f>
        <v/>
      </c>
      <c r="D417" t="str">
        <f>IFERROR(VLOOKUP(A417, M_S3, 3, FALSE), "")</f>
        <v/>
      </c>
      <c r="I417" t="str">
        <f>IF('Production &amp; Circular'!B415=0, "", 'Production &amp; Circular'!B415 * (1 - 'Production &amp; Circular'!D415))</f>
        <v/>
      </c>
    </row>
    <row r="418" spans="2:9">
      <c r="B418" t="str">
        <f>IFERROR(VLOOKUP(A418, M_S3, 2, FALSE), "")</f>
        <v/>
      </c>
      <c r="D418" t="str">
        <f>IFERROR(VLOOKUP(A418, M_S3, 3, FALSE), "")</f>
        <v/>
      </c>
      <c r="I418" t="str">
        <f>IF('Production &amp; Circular'!B416=0, "", 'Production &amp; Circular'!B416 * (1 - 'Production &amp; Circular'!D416))</f>
        <v/>
      </c>
    </row>
    <row r="419" spans="2:9">
      <c r="B419" t="str">
        <f>IFERROR(VLOOKUP(A419, M_S3, 2, FALSE), "")</f>
        <v/>
      </c>
      <c r="D419" t="str">
        <f>IFERROR(VLOOKUP(A419, M_S3, 3, FALSE), "")</f>
        <v/>
      </c>
      <c r="I419" t="str">
        <f>IF('Production &amp; Circular'!B417=0, "", 'Production &amp; Circular'!B417 * (1 - 'Production &amp; Circular'!D417))</f>
        <v/>
      </c>
    </row>
    <row r="420" spans="2:9">
      <c r="B420" t="str">
        <f>IFERROR(VLOOKUP(A420, M_S3, 2, FALSE), "")</f>
        <v/>
      </c>
      <c r="D420" t="str">
        <f>IFERROR(VLOOKUP(A420, M_S3, 3, FALSE), "")</f>
        <v/>
      </c>
      <c r="I420" t="str">
        <f>IF('Production &amp; Circular'!B418=0, "", 'Production &amp; Circular'!B418 * (1 - 'Production &amp; Circular'!D418))</f>
        <v/>
      </c>
    </row>
    <row r="421" spans="2:9">
      <c r="B421" t="str">
        <f>IFERROR(VLOOKUP(A421, M_S3, 2, FALSE), "")</f>
        <v/>
      </c>
      <c r="D421" t="str">
        <f>IFERROR(VLOOKUP(A421, M_S3, 3, FALSE), "")</f>
        <v/>
      </c>
      <c r="I421" t="str">
        <f>IF('Production &amp; Circular'!B419=0, "", 'Production &amp; Circular'!B419 * (1 - 'Production &amp; Circular'!D419))</f>
        <v/>
      </c>
    </row>
    <row r="422" spans="2:9">
      <c r="B422" t="str">
        <f>IFERROR(VLOOKUP(A422, M_S3, 2, FALSE), "")</f>
        <v/>
      </c>
      <c r="D422" t="str">
        <f>IFERROR(VLOOKUP(A422, M_S3, 3, FALSE), "")</f>
        <v/>
      </c>
      <c r="I422" t="str">
        <f>IF('Production &amp; Circular'!B420=0, "", 'Production &amp; Circular'!B420 * (1 - 'Production &amp; Circular'!D420))</f>
        <v/>
      </c>
    </row>
    <row r="423" spans="2:9">
      <c r="B423" t="str">
        <f>IFERROR(VLOOKUP(A423, M_S3, 2, FALSE), "")</f>
        <v/>
      </c>
      <c r="D423" t="str">
        <f>IFERROR(VLOOKUP(A423, M_S3, 3, FALSE), "")</f>
        <v/>
      </c>
      <c r="I423" t="str">
        <f>IF('Production &amp; Circular'!B421=0, "", 'Production &amp; Circular'!B421 * (1 - 'Production &amp; Circular'!D421))</f>
        <v/>
      </c>
    </row>
    <row r="424" spans="2:9">
      <c r="B424" t="str">
        <f>IFERROR(VLOOKUP(A424, M_S3, 2, FALSE), "")</f>
        <v/>
      </c>
      <c r="D424" t="str">
        <f>IFERROR(VLOOKUP(A424, M_S3, 3, FALSE), "")</f>
        <v/>
      </c>
      <c r="I424" t="str">
        <f>IF('Production &amp; Circular'!B422=0, "", 'Production &amp; Circular'!B422 * (1 - 'Production &amp; Circular'!D422))</f>
        <v/>
      </c>
    </row>
    <row r="425" spans="2:9">
      <c r="B425" t="str">
        <f>IFERROR(VLOOKUP(A425, M_S3, 2, FALSE), "")</f>
        <v/>
      </c>
      <c r="D425" t="str">
        <f>IFERROR(VLOOKUP(A425, M_S3, 3, FALSE), "")</f>
        <v/>
      </c>
      <c r="I425" t="str">
        <f>IF('Production &amp; Circular'!B423=0, "", 'Production &amp; Circular'!B423 * (1 - 'Production &amp; Circular'!D423))</f>
        <v/>
      </c>
    </row>
    <row r="426" spans="2:9">
      <c r="B426" t="str">
        <f>IFERROR(VLOOKUP(A426, M_S3, 2, FALSE), "")</f>
        <v/>
      </c>
      <c r="D426" t="str">
        <f>IFERROR(VLOOKUP(A426, M_S3, 3, FALSE), "")</f>
        <v/>
      </c>
      <c r="I426" t="str">
        <f>IF('Production &amp; Circular'!B424=0, "", 'Production &amp; Circular'!B424 * (1 - 'Production &amp; Circular'!D424))</f>
        <v/>
      </c>
    </row>
    <row r="427" spans="2:9">
      <c r="B427" t="str">
        <f>IFERROR(VLOOKUP(A427, M_S3, 2, FALSE), "")</f>
        <v/>
      </c>
      <c r="D427" t="str">
        <f>IFERROR(VLOOKUP(A427, M_S3, 3, FALSE), "")</f>
        <v/>
      </c>
      <c r="I427" t="str">
        <f>IF('Production &amp; Circular'!B425=0, "", 'Production &amp; Circular'!B425 * (1 - 'Production &amp; Circular'!D425))</f>
        <v/>
      </c>
    </row>
    <row r="428" spans="2:9">
      <c r="B428" t="str">
        <f>IFERROR(VLOOKUP(A428, M_S3, 2, FALSE), "")</f>
        <v/>
      </c>
      <c r="D428" t="str">
        <f>IFERROR(VLOOKUP(A428, M_S3, 3, FALSE), "")</f>
        <v/>
      </c>
      <c r="I428" t="str">
        <f>IF('Production &amp; Circular'!B426=0, "", 'Production &amp; Circular'!B426 * (1 - 'Production &amp; Circular'!D426))</f>
        <v/>
      </c>
    </row>
    <row r="429" spans="2:9">
      <c r="B429" t="str">
        <f>IFERROR(VLOOKUP(A429, M_S3, 2, FALSE), "")</f>
        <v/>
      </c>
      <c r="D429" t="str">
        <f>IFERROR(VLOOKUP(A429, M_S3, 3, FALSE), "")</f>
        <v/>
      </c>
      <c r="I429" t="str">
        <f>IF('Production &amp; Circular'!B427=0, "", 'Production &amp; Circular'!B427 * (1 - 'Production &amp; Circular'!D427))</f>
        <v/>
      </c>
    </row>
    <row r="430" spans="2:9">
      <c r="B430" t="str">
        <f>IFERROR(VLOOKUP(A430, M_S3, 2, FALSE), "")</f>
        <v/>
      </c>
      <c r="D430" t="str">
        <f>IFERROR(VLOOKUP(A430, M_S3, 3, FALSE), "")</f>
        <v/>
      </c>
      <c r="I430" t="str">
        <f>IF('Production &amp; Circular'!B428=0, "", 'Production &amp; Circular'!B428 * (1 - 'Production &amp; Circular'!D428))</f>
        <v/>
      </c>
    </row>
    <row r="431" spans="2:9">
      <c r="B431" t="str">
        <f>IFERROR(VLOOKUP(A431, M_S3, 2, FALSE), "")</f>
        <v/>
      </c>
      <c r="D431" t="str">
        <f>IFERROR(VLOOKUP(A431, M_S3, 3, FALSE), "")</f>
        <v/>
      </c>
      <c r="I431" t="str">
        <f>IF('Production &amp; Circular'!B429=0, "", 'Production &amp; Circular'!B429 * (1 - 'Production &amp; Circular'!D429))</f>
        <v/>
      </c>
    </row>
    <row r="432" spans="2:9">
      <c r="B432" t="str">
        <f>IFERROR(VLOOKUP(A432, M_S3, 2, FALSE), "")</f>
        <v/>
      </c>
      <c r="D432" t="str">
        <f>IFERROR(VLOOKUP(A432, M_S3, 3, FALSE), "")</f>
        <v/>
      </c>
      <c r="I432" t="str">
        <f>IF('Production &amp; Circular'!B430=0, "", 'Production &amp; Circular'!B430 * (1 - 'Production &amp; Circular'!D430))</f>
        <v/>
      </c>
    </row>
    <row r="433" spans="2:9">
      <c r="B433" t="str">
        <f>IFERROR(VLOOKUP(A433, M_S3, 2, FALSE), "")</f>
        <v/>
      </c>
      <c r="D433" t="str">
        <f>IFERROR(VLOOKUP(A433, M_S3, 3, FALSE), "")</f>
        <v/>
      </c>
      <c r="I433" t="str">
        <f>IF('Production &amp; Circular'!B431=0, "", 'Production &amp; Circular'!B431 * (1 - 'Production &amp; Circular'!D431))</f>
        <v/>
      </c>
    </row>
    <row r="434" spans="2:9">
      <c r="B434" t="str">
        <f>IFERROR(VLOOKUP(A434, M_S3, 2, FALSE), "")</f>
        <v/>
      </c>
      <c r="D434" t="str">
        <f>IFERROR(VLOOKUP(A434, M_S3, 3, FALSE), "")</f>
        <v/>
      </c>
      <c r="I434" t="str">
        <f>IF('Production &amp; Circular'!B432=0, "", 'Production &amp; Circular'!B432 * (1 - 'Production &amp; Circular'!D432))</f>
        <v/>
      </c>
    </row>
    <row r="435" spans="2:9">
      <c r="B435" t="str">
        <f>IFERROR(VLOOKUP(A435, M_S3, 2, FALSE), "")</f>
        <v/>
      </c>
      <c r="D435" t="str">
        <f>IFERROR(VLOOKUP(A435, M_S3, 3, FALSE), "")</f>
        <v/>
      </c>
      <c r="I435" t="str">
        <f>IF('Production &amp; Circular'!B433=0, "", 'Production &amp; Circular'!B433 * (1 - 'Production &amp; Circular'!D433))</f>
        <v/>
      </c>
    </row>
    <row r="436" spans="2:9">
      <c r="B436" t="str">
        <f>IFERROR(VLOOKUP(A436, M_S3, 2, FALSE), "")</f>
        <v/>
      </c>
      <c r="D436" t="str">
        <f>IFERROR(VLOOKUP(A436, M_S3, 3, FALSE), "")</f>
        <v/>
      </c>
      <c r="I436" t="str">
        <f>IF('Production &amp; Circular'!B434=0, "", 'Production &amp; Circular'!B434 * (1 - 'Production &amp; Circular'!D434))</f>
        <v/>
      </c>
    </row>
    <row r="437" spans="2:9">
      <c r="B437" t="str">
        <f>IFERROR(VLOOKUP(A437, M_S3, 2, FALSE), "")</f>
        <v/>
      </c>
      <c r="D437" t="str">
        <f>IFERROR(VLOOKUP(A437, M_S3, 3, FALSE), "")</f>
        <v/>
      </c>
      <c r="I437" t="str">
        <f>IF('Production &amp; Circular'!B435=0, "", 'Production &amp; Circular'!B435 * (1 - 'Production &amp; Circular'!D435))</f>
        <v/>
      </c>
    </row>
    <row r="438" spans="2:9">
      <c r="B438" t="str">
        <f>IFERROR(VLOOKUP(A438, M_S3, 2, FALSE), "")</f>
        <v/>
      </c>
      <c r="D438" t="str">
        <f>IFERROR(VLOOKUP(A438, M_S3, 3, FALSE), "")</f>
        <v/>
      </c>
      <c r="I438" t="str">
        <f>IF('Production &amp; Circular'!B436=0, "", 'Production &amp; Circular'!B436 * (1 - 'Production &amp; Circular'!D436))</f>
        <v/>
      </c>
    </row>
    <row r="439" spans="2:9">
      <c r="B439" t="str">
        <f>IFERROR(VLOOKUP(A439, M_S3, 2, FALSE), "")</f>
        <v/>
      </c>
      <c r="D439" t="str">
        <f>IFERROR(VLOOKUP(A439, M_S3, 3, FALSE), "")</f>
        <v/>
      </c>
      <c r="I439" t="str">
        <f>IF('Production &amp; Circular'!B437=0, "", 'Production &amp; Circular'!B437 * (1 - 'Production &amp; Circular'!D437))</f>
        <v/>
      </c>
    </row>
    <row r="440" spans="2:9">
      <c r="B440" t="str">
        <f>IFERROR(VLOOKUP(A440, M_S3, 2, FALSE), "")</f>
        <v/>
      </c>
      <c r="D440" t="str">
        <f>IFERROR(VLOOKUP(A440, M_S3, 3, FALSE), "")</f>
        <v/>
      </c>
      <c r="I440" t="str">
        <f>IF('Production &amp; Circular'!B438=0, "", 'Production &amp; Circular'!B438 * (1 - 'Production &amp; Circular'!D438))</f>
        <v/>
      </c>
    </row>
    <row r="441" spans="2:9">
      <c r="B441" t="str">
        <f>IFERROR(VLOOKUP(A441, M_S3, 2, FALSE), "")</f>
        <v/>
      </c>
      <c r="D441" t="str">
        <f>IFERROR(VLOOKUP(A441, M_S3, 3, FALSE), "")</f>
        <v/>
      </c>
      <c r="I441" t="str">
        <f>IF('Production &amp; Circular'!B439=0, "", 'Production &amp; Circular'!B439 * (1 - 'Production &amp; Circular'!D439))</f>
        <v/>
      </c>
    </row>
    <row r="442" spans="2:9">
      <c r="B442" t="str">
        <f>IFERROR(VLOOKUP(A442, M_S3, 2, FALSE), "")</f>
        <v/>
      </c>
      <c r="D442" t="str">
        <f>IFERROR(VLOOKUP(A442, M_S3, 3, FALSE), "")</f>
        <v/>
      </c>
      <c r="I442" t="str">
        <f>IF('Production &amp; Circular'!B440=0, "", 'Production &amp; Circular'!B440 * (1 - 'Production &amp; Circular'!D440))</f>
        <v/>
      </c>
    </row>
    <row r="443" spans="2:9">
      <c r="B443" t="str">
        <f>IFERROR(VLOOKUP(A443, M_S3, 2, FALSE), "")</f>
        <v/>
      </c>
      <c r="D443" t="str">
        <f>IFERROR(VLOOKUP(A443, M_S3, 3, FALSE), "")</f>
        <v/>
      </c>
      <c r="I443" t="str">
        <f>IF('Production &amp; Circular'!B441=0, "", 'Production &amp; Circular'!B441 * (1 - 'Production &amp; Circular'!D441))</f>
        <v/>
      </c>
    </row>
    <row r="444" spans="2:9">
      <c r="B444" t="str">
        <f>IFERROR(VLOOKUP(A444, M_S3, 2, FALSE), "")</f>
        <v/>
      </c>
      <c r="D444" t="str">
        <f>IFERROR(VLOOKUP(A444, M_S3, 3, FALSE), "")</f>
        <v/>
      </c>
      <c r="I444" t="str">
        <f>IF('Production &amp; Circular'!B442=0, "", 'Production &amp; Circular'!B442 * (1 - 'Production &amp; Circular'!D442))</f>
        <v/>
      </c>
    </row>
    <row r="445" spans="2:9">
      <c r="B445" t="str">
        <f>IFERROR(VLOOKUP(A445, M_S3, 2, FALSE), "")</f>
        <v/>
      </c>
      <c r="D445" t="str">
        <f>IFERROR(VLOOKUP(A445, M_S3, 3, FALSE), "")</f>
        <v/>
      </c>
      <c r="I445" t="str">
        <f>IF('Production &amp; Circular'!B443=0, "", 'Production &amp; Circular'!B443 * (1 - 'Production &amp; Circular'!D443))</f>
        <v/>
      </c>
    </row>
    <row r="446" spans="2:9">
      <c r="B446" t="str">
        <f>IFERROR(VLOOKUP(A446, M_S3, 2, FALSE), "")</f>
        <v/>
      </c>
      <c r="D446" t="str">
        <f>IFERROR(VLOOKUP(A446, M_S3, 3, FALSE), "")</f>
        <v/>
      </c>
      <c r="I446" t="str">
        <f>IF('Production &amp; Circular'!B444=0, "", 'Production &amp; Circular'!B444 * (1 - 'Production &amp; Circular'!D444))</f>
        <v/>
      </c>
    </row>
    <row r="447" spans="2:9">
      <c r="B447" t="str">
        <f>IFERROR(VLOOKUP(A447, M_S3, 2, FALSE), "")</f>
        <v/>
      </c>
      <c r="D447" t="str">
        <f>IFERROR(VLOOKUP(A447, M_S3, 3, FALSE), "")</f>
        <v/>
      </c>
      <c r="I447" t="str">
        <f>IF('Production &amp; Circular'!B445=0, "", 'Production &amp; Circular'!B445 * (1 - 'Production &amp; Circular'!D445))</f>
        <v/>
      </c>
    </row>
    <row r="448" spans="2:9">
      <c r="B448" t="str">
        <f>IFERROR(VLOOKUP(A448, M_S3, 2, FALSE), "")</f>
        <v/>
      </c>
      <c r="D448" t="str">
        <f>IFERROR(VLOOKUP(A448, M_S3, 3, FALSE), "")</f>
        <v/>
      </c>
      <c r="I448" t="str">
        <f>IF('Production &amp; Circular'!B446=0, "", 'Production &amp; Circular'!B446 * (1 - 'Production &amp; Circular'!D446))</f>
        <v/>
      </c>
    </row>
    <row r="449" spans="2:9">
      <c r="B449" t="str">
        <f>IFERROR(VLOOKUP(A449, M_S3, 2, FALSE), "")</f>
        <v/>
      </c>
      <c r="D449" t="str">
        <f>IFERROR(VLOOKUP(A449, M_S3, 3, FALSE), "")</f>
        <v/>
      </c>
      <c r="I449" t="str">
        <f>IF('Production &amp; Circular'!B447=0, "", 'Production &amp; Circular'!B447 * (1 - 'Production &amp; Circular'!D447))</f>
        <v/>
      </c>
    </row>
    <row r="450" spans="2:9">
      <c r="B450" t="str">
        <f>IFERROR(VLOOKUP(A450, M_S3, 2, FALSE), "")</f>
        <v/>
      </c>
      <c r="D450" t="str">
        <f>IFERROR(VLOOKUP(A450, M_S3, 3, FALSE), "")</f>
        <v/>
      </c>
      <c r="I450" t="str">
        <f>IF('Production &amp; Circular'!B448=0, "", 'Production &amp; Circular'!B448 * (1 - 'Production &amp; Circular'!D448))</f>
        <v/>
      </c>
    </row>
    <row r="451" spans="2:9">
      <c r="B451" t="str">
        <f>IFERROR(VLOOKUP(A451, M_S3, 2, FALSE), "")</f>
        <v/>
      </c>
      <c r="D451" t="str">
        <f>IFERROR(VLOOKUP(A451, M_S3, 3, FALSE), "")</f>
        <v/>
      </c>
      <c r="I451" t="str">
        <f>IF('Production &amp; Circular'!B449=0, "", 'Production &amp; Circular'!B449 * (1 - 'Production &amp; Circular'!D449))</f>
        <v/>
      </c>
    </row>
    <row r="452" spans="2:9">
      <c r="B452" t="str">
        <f>IFERROR(VLOOKUP(A452, M_S3, 2, FALSE), "")</f>
        <v/>
      </c>
      <c r="D452" t="str">
        <f>IFERROR(VLOOKUP(A452, M_S3, 3, FALSE), "")</f>
        <v/>
      </c>
      <c r="I452" t="str">
        <f>IF('Production &amp; Circular'!B450=0, "", 'Production &amp; Circular'!B450 * (1 - 'Production &amp; Circular'!D450))</f>
        <v/>
      </c>
    </row>
    <row r="453" spans="2:9">
      <c r="B453" t="str">
        <f>IFERROR(VLOOKUP(A453, M_S3, 2, FALSE), "")</f>
        <v/>
      </c>
      <c r="D453" t="str">
        <f>IFERROR(VLOOKUP(A453, M_S3, 3, FALSE), "")</f>
        <v/>
      </c>
      <c r="I453" t="str">
        <f>IF('Production &amp; Circular'!B451=0, "", 'Production &amp; Circular'!B451 * (1 - 'Production &amp; Circular'!D451))</f>
        <v/>
      </c>
    </row>
    <row r="454" spans="2:9">
      <c r="B454" t="str">
        <f>IFERROR(VLOOKUP(A454, M_S3, 2, FALSE), "")</f>
        <v/>
      </c>
      <c r="D454" t="str">
        <f>IFERROR(VLOOKUP(A454, M_S3, 3, FALSE), "")</f>
        <v/>
      </c>
      <c r="I454" t="str">
        <f>IF('Production &amp; Circular'!B452=0, "", 'Production &amp; Circular'!B452 * (1 - 'Production &amp; Circular'!D452))</f>
        <v/>
      </c>
    </row>
    <row r="455" spans="2:9">
      <c r="B455" t="str">
        <f>IFERROR(VLOOKUP(A455, M_S3, 2, FALSE), "")</f>
        <v/>
      </c>
      <c r="D455" t="str">
        <f>IFERROR(VLOOKUP(A455, M_S3, 3, FALSE), "")</f>
        <v/>
      </c>
      <c r="I455" t="str">
        <f>IF('Production &amp; Circular'!B453=0, "", 'Production &amp; Circular'!B453 * (1 - 'Production &amp; Circular'!D453))</f>
        <v/>
      </c>
    </row>
    <row r="456" spans="2:9">
      <c r="B456" t="str">
        <f>IFERROR(VLOOKUP(A456, M_S3, 2, FALSE), "")</f>
        <v/>
      </c>
      <c r="D456" t="str">
        <f>IFERROR(VLOOKUP(A456, M_S3, 3, FALSE), "")</f>
        <v/>
      </c>
      <c r="I456" t="str">
        <f>IF('Production &amp; Circular'!B454=0, "", 'Production &amp; Circular'!B454 * (1 - 'Production &amp; Circular'!D454))</f>
        <v/>
      </c>
    </row>
    <row r="457" spans="2:9">
      <c r="B457" t="str">
        <f>IFERROR(VLOOKUP(A457, M_S3, 2, FALSE), "")</f>
        <v/>
      </c>
      <c r="D457" t="str">
        <f>IFERROR(VLOOKUP(A457, M_S3, 3, FALSE), "")</f>
        <v/>
      </c>
      <c r="I457" t="str">
        <f>IF('Production &amp; Circular'!B455=0, "", 'Production &amp; Circular'!B455 * (1 - 'Production &amp; Circular'!D455))</f>
        <v/>
      </c>
    </row>
    <row r="458" spans="2:9">
      <c r="B458" t="str">
        <f>IFERROR(VLOOKUP(A458, M_S3, 2, FALSE), "")</f>
        <v/>
      </c>
      <c r="D458" t="str">
        <f>IFERROR(VLOOKUP(A458, M_S3, 3, FALSE), "")</f>
        <v/>
      </c>
      <c r="I458" t="str">
        <f>IF('Production &amp; Circular'!B456=0, "", 'Production &amp; Circular'!B456 * (1 - 'Production &amp; Circular'!D456))</f>
        <v/>
      </c>
    </row>
    <row r="459" spans="2:9">
      <c r="B459" t="str">
        <f>IFERROR(VLOOKUP(A459, M_S3, 2, FALSE), "")</f>
        <v/>
      </c>
      <c r="D459" t="str">
        <f>IFERROR(VLOOKUP(A459, M_S3, 3, FALSE), "")</f>
        <v/>
      </c>
      <c r="I459" t="str">
        <f>IF('Production &amp; Circular'!B457=0, "", 'Production &amp; Circular'!B457 * (1 - 'Production &amp; Circular'!D457))</f>
        <v/>
      </c>
    </row>
    <row r="460" spans="2:9">
      <c r="B460" t="str">
        <f>IFERROR(VLOOKUP(A460, M_S3, 2, FALSE), "")</f>
        <v/>
      </c>
      <c r="D460" t="str">
        <f>IFERROR(VLOOKUP(A460, M_S3, 3, FALSE), "")</f>
        <v/>
      </c>
      <c r="I460" t="str">
        <f>IF('Production &amp; Circular'!B458=0, "", 'Production &amp; Circular'!B458 * (1 - 'Production &amp; Circular'!D458))</f>
        <v/>
      </c>
    </row>
    <row r="461" spans="2:9">
      <c r="B461" t="str">
        <f>IFERROR(VLOOKUP(A461, M_S3, 2, FALSE), "")</f>
        <v/>
      </c>
      <c r="D461" t="str">
        <f>IFERROR(VLOOKUP(A461, M_S3, 3, FALSE), "")</f>
        <v/>
      </c>
      <c r="I461" t="str">
        <f>IF('Production &amp; Circular'!B459=0, "", 'Production &amp; Circular'!B459 * (1 - 'Production &amp; Circular'!D459))</f>
        <v/>
      </c>
    </row>
    <row r="462" spans="2:9">
      <c r="B462" t="str">
        <f>IFERROR(VLOOKUP(A462, M_S3, 2, FALSE), "")</f>
        <v/>
      </c>
      <c r="D462" t="str">
        <f>IFERROR(VLOOKUP(A462, M_S3, 3, FALSE), "")</f>
        <v/>
      </c>
      <c r="I462" t="str">
        <f>IF('Production &amp; Circular'!B460=0, "", 'Production &amp; Circular'!B460 * (1 - 'Production &amp; Circular'!D460))</f>
        <v/>
      </c>
    </row>
    <row r="463" spans="2:9">
      <c r="B463" t="str">
        <f>IFERROR(VLOOKUP(A463, M_S3, 2, FALSE), "")</f>
        <v/>
      </c>
      <c r="D463" t="str">
        <f>IFERROR(VLOOKUP(A463, M_S3, 3, FALSE), "")</f>
        <v/>
      </c>
      <c r="I463" t="str">
        <f>IF('Production &amp; Circular'!B461=0, "", 'Production &amp; Circular'!B461 * (1 - 'Production &amp; Circular'!D461))</f>
        <v/>
      </c>
    </row>
    <row r="464" spans="2:9">
      <c r="B464" t="str">
        <f>IFERROR(VLOOKUP(A464, M_S3, 2, FALSE), "")</f>
        <v/>
      </c>
      <c r="D464" t="str">
        <f>IFERROR(VLOOKUP(A464, M_S3, 3, FALSE), "")</f>
        <v/>
      </c>
      <c r="I464" t="str">
        <f>IF('Production &amp; Circular'!B462=0, "", 'Production &amp; Circular'!B462 * (1 - 'Production &amp; Circular'!D462))</f>
        <v/>
      </c>
    </row>
    <row r="465" spans="2:9">
      <c r="B465" t="str">
        <f>IFERROR(VLOOKUP(A465, M_S3, 2, FALSE), "")</f>
        <v/>
      </c>
      <c r="D465" t="str">
        <f>IFERROR(VLOOKUP(A465, M_S3, 3, FALSE), "")</f>
        <v/>
      </c>
      <c r="I465" t="str">
        <f>IF('Production &amp; Circular'!B463=0, "", 'Production &amp; Circular'!B463 * (1 - 'Production &amp; Circular'!D463))</f>
        <v/>
      </c>
    </row>
    <row r="466" spans="2:9">
      <c r="B466" t="str">
        <f>IFERROR(VLOOKUP(A466, M_S3, 2, FALSE), "")</f>
        <v/>
      </c>
      <c r="D466" t="str">
        <f>IFERROR(VLOOKUP(A466, M_S3, 3, FALSE), "")</f>
        <v/>
      </c>
      <c r="I466" t="str">
        <f>IF('Production &amp; Circular'!B464=0, "", 'Production &amp; Circular'!B464 * (1 - 'Production &amp; Circular'!D464))</f>
        <v/>
      </c>
    </row>
    <row r="467" spans="2:9">
      <c r="B467" t="str">
        <f>IFERROR(VLOOKUP(A467, M_S3, 2, FALSE), "")</f>
        <v/>
      </c>
      <c r="D467" t="str">
        <f>IFERROR(VLOOKUP(A467, M_S3, 3, FALSE), "")</f>
        <v/>
      </c>
      <c r="I467" t="str">
        <f>IF('Production &amp; Circular'!B465=0, "", 'Production &amp; Circular'!B465 * (1 - 'Production &amp; Circular'!D465))</f>
        <v/>
      </c>
    </row>
    <row r="468" spans="2:9">
      <c r="B468" t="str">
        <f>IFERROR(VLOOKUP(A468, M_S3, 2, FALSE), "")</f>
        <v/>
      </c>
      <c r="D468" t="str">
        <f>IFERROR(VLOOKUP(A468, M_S3, 3, FALSE), "")</f>
        <v/>
      </c>
      <c r="I468" t="str">
        <f>IF('Production &amp; Circular'!B466=0, "", 'Production &amp; Circular'!B466 * (1 - 'Production &amp; Circular'!D466))</f>
        <v/>
      </c>
    </row>
    <row r="469" spans="2:9">
      <c r="B469" t="str">
        <f>IFERROR(VLOOKUP(A469, M_S3, 2, FALSE), "")</f>
        <v/>
      </c>
      <c r="D469" t="str">
        <f>IFERROR(VLOOKUP(A469, M_S3, 3, FALSE), "")</f>
        <v/>
      </c>
      <c r="I469" t="str">
        <f>IF('Production &amp; Circular'!B467=0, "", 'Production &amp; Circular'!B467 * (1 - 'Production &amp; Circular'!D467))</f>
        <v/>
      </c>
    </row>
    <row r="470" spans="2:9">
      <c r="B470" t="str">
        <f>IFERROR(VLOOKUP(A470, M_S3, 2, FALSE), "")</f>
        <v/>
      </c>
      <c r="D470" t="str">
        <f>IFERROR(VLOOKUP(A470, M_S3, 3, FALSE), "")</f>
        <v/>
      </c>
      <c r="I470" t="str">
        <f>IF('Production &amp; Circular'!B468=0, "", 'Production &amp; Circular'!B468 * (1 - 'Production &amp; Circular'!D468))</f>
        <v/>
      </c>
    </row>
    <row r="471" spans="2:9">
      <c r="B471" t="str">
        <f>IFERROR(VLOOKUP(A471, M_S3, 2, FALSE), "")</f>
        <v/>
      </c>
      <c r="D471" t="str">
        <f>IFERROR(VLOOKUP(A471, M_S3, 3, FALSE), "")</f>
        <v/>
      </c>
      <c r="I471" t="str">
        <f>IF('Production &amp; Circular'!B469=0, "", 'Production &amp; Circular'!B469 * (1 - 'Production &amp; Circular'!D469))</f>
        <v/>
      </c>
    </row>
    <row r="472" spans="2:9">
      <c r="B472" t="str">
        <f>IFERROR(VLOOKUP(A472, M_S3, 2, FALSE), "")</f>
        <v/>
      </c>
      <c r="D472" t="str">
        <f>IFERROR(VLOOKUP(A472, M_S3, 3, FALSE), "")</f>
        <v/>
      </c>
      <c r="I472" t="str">
        <f>IF('Production &amp; Circular'!B470=0, "", 'Production &amp; Circular'!B470 * (1 - 'Production &amp; Circular'!D470))</f>
        <v/>
      </c>
    </row>
    <row r="473" spans="2:9">
      <c r="B473" t="str">
        <f>IFERROR(VLOOKUP(A473, M_S3, 2, FALSE), "")</f>
        <v/>
      </c>
      <c r="D473" t="str">
        <f>IFERROR(VLOOKUP(A473, M_S3, 3, FALSE), "")</f>
        <v/>
      </c>
      <c r="I473" t="str">
        <f>IF('Production &amp; Circular'!B471=0, "", 'Production &amp; Circular'!B471 * (1 - 'Production &amp; Circular'!D471))</f>
        <v/>
      </c>
    </row>
    <row r="474" spans="2:9">
      <c r="B474" t="str">
        <f>IFERROR(VLOOKUP(A474, M_S3, 2, FALSE), "")</f>
        <v/>
      </c>
      <c r="D474" t="str">
        <f>IFERROR(VLOOKUP(A474, M_S3, 3, FALSE), "")</f>
        <v/>
      </c>
      <c r="I474" t="str">
        <f>IF('Production &amp; Circular'!B472=0, "", 'Production &amp; Circular'!B472 * (1 - 'Production &amp; Circular'!D472))</f>
        <v/>
      </c>
    </row>
    <row r="475" spans="2:9">
      <c r="B475" t="str">
        <f>IFERROR(VLOOKUP(A475, M_S3, 2, FALSE), "")</f>
        <v/>
      </c>
      <c r="D475" t="str">
        <f>IFERROR(VLOOKUP(A475, M_S3, 3, FALSE), "")</f>
        <v/>
      </c>
      <c r="I475" t="str">
        <f>IF('Production &amp; Circular'!B473=0, "", 'Production &amp; Circular'!B473 * (1 - 'Production &amp; Circular'!D473))</f>
        <v/>
      </c>
    </row>
    <row r="476" spans="2:9">
      <c r="B476" t="str">
        <f>IFERROR(VLOOKUP(A476, M_S3, 2, FALSE), "")</f>
        <v/>
      </c>
      <c r="D476" t="str">
        <f>IFERROR(VLOOKUP(A476, M_S3, 3, FALSE), "")</f>
        <v/>
      </c>
      <c r="I476" t="str">
        <f>IF('Production &amp; Circular'!B474=0, "", 'Production &amp; Circular'!B474 * (1 - 'Production &amp; Circular'!D474))</f>
        <v/>
      </c>
    </row>
    <row r="477" spans="2:9">
      <c r="B477" t="str">
        <f>IFERROR(VLOOKUP(A477, M_S3, 2, FALSE), "")</f>
        <v/>
      </c>
      <c r="D477" t="str">
        <f>IFERROR(VLOOKUP(A477, M_S3, 3, FALSE), "")</f>
        <v/>
      </c>
      <c r="I477" t="str">
        <f>IF('Production &amp; Circular'!B475=0, "", 'Production &amp; Circular'!B475 * (1 - 'Production &amp; Circular'!D475))</f>
        <v/>
      </c>
    </row>
    <row r="478" spans="2:9">
      <c r="B478" t="str">
        <f>IFERROR(VLOOKUP(A478, M_S3, 2, FALSE), "")</f>
        <v/>
      </c>
      <c r="D478" t="str">
        <f>IFERROR(VLOOKUP(A478, M_S3, 3, FALSE), "")</f>
        <v/>
      </c>
      <c r="I478" t="str">
        <f>IF('Production &amp; Circular'!B476=0, "", 'Production &amp; Circular'!B476 * (1 - 'Production &amp; Circular'!D476))</f>
        <v/>
      </c>
    </row>
    <row r="479" spans="2:9">
      <c r="B479" t="str">
        <f>IFERROR(VLOOKUP(A479, M_S3, 2, FALSE), "")</f>
        <v/>
      </c>
      <c r="D479" t="str">
        <f>IFERROR(VLOOKUP(A479, M_S3, 3, FALSE), "")</f>
        <v/>
      </c>
      <c r="I479" t="str">
        <f>IF('Production &amp; Circular'!B477=0, "", 'Production &amp; Circular'!B477 * (1 - 'Production &amp; Circular'!D477))</f>
        <v/>
      </c>
    </row>
    <row r="480" spans="2:9">
      <c r="B480" t="str">
        <f>IFERROR(VLOOKUP(A480, M_S3, 2, FALSE), "")</f>
        <v/>
      </c>
      <c r="D480" t="str">
        <f>IFERROR(VLOOKUP(A480, M_S3, 3, FALSE), "")</f>
        <v/>
      </c>
      <c r="I480" t="str">
        <f>IF('Production &amp; Circular'!B478=0, "", 'Production &amp; Circular'!B478 * (1 - 'Production &amp; Circular'!D478))</f>
        <v/>
      </c>
    </row>
    <row r="481" spans="2:9">
      <c r="B481" t="str">
        <f>IFERROR(VLOOKUP(A481, M_S3, 2, FALSE), "")</f>
        <v/>
      </c>
      <c r="D481" t="str">
        <f>IFERROR(VLOOKUP(A481, M_S3, 3, FALSE), "")</f>
        <v/>
      </c>
      <c r="I481" t="str">
        <f>IF('Production &amp; Circular'!B479=0, "", 'Production &amp; Circular'!B479 * (1 - 'Production &amp; Circular'!D479))</f>
        <v/>
      </c>
    </row>
    <row r="482" spans="2:9">
      <c r="B482" t="str">
        <f>IFERROR(VLOOKUP(A482, M_S3, 2, FALSE), "")</f>
        <v/>
      </c>
      <c r="D482" t="str">
        <f>IFERROR(VLOOKUP(A482, M_S3, 3, FALSE), "")</f>
        <v/>
      </c>
      <c r="I482" t="str">
        <f>IF('Production &amp; Circular'!B480=0, "", 'Production &amp; Circular'!B480 * (1 - 'Production &amp; Circular'!D480))</f>
        <v/>
      </c>
    </row>
    <row r="483" spans="2:9">
      <c r="B483" t="str">
        <f>IFERROR(VLOOKUP(A483, M_S3, 2, FALSE), "")</f>
        <v/>
      </c>
      <c r="D483" t="str">
        <f>IFERROR(VLOOKUP(A483, M_S3, 3, FALSE), "")</f>
        <v/>
      </c>
      <c r="I483" t="str">
        <f>IF('Production &amp; Circular'!B481=0, "", 'Production &amp; Circular'!B481 * (1 - 'Production &amp; Circular'!D481))</f>
        <v/>
      </c>
    </row>
    <row r="484" spans="2:9">
      <c r="B484" t="str">
        <f>IFERROR(VLOOKUP(A484, M_S3, 2, FALSE), "")</f>
        <v/>
      </c>
      <c r="D484" t="str">
        <f>IFERROR(VLOOKUP(A484, M_S3, 3, FALSE), "")</f>
        <v/>
      </c>
      <c r="I484" t="str">
        <f>IF('Production &amp; Circular'!B482=0, "", 'Production &amp; Circular'!B482 * (1 - 'Production &amp; Circular'!D482))</f>
        <v/>
      </c>
    </row>
    <row r="485" spans="2:9">
      <c r="B485" t="str">
        <f>IFERROR(VLOOKUP(A485, M_S3, 2, FALSE), "")</f>
        <v/>
      </c>
      <c r="D485" t="str">
        <f>IFERROR(VLOOKUP(A485, M_S3, 3, FALSE), "")</f>
        <v/>
      </c>
      <c r="I485" t="str">
        <f>IF('Production &amp; Circular'!B483=0, "", 'Production &amp; Circular'!B483 * (1 - 'Production &amp; Circular'!D483))</f>
        <v/>
      </c>
    </row>
    <row r="486" spans="2:9">
      <c r="B486" t="str">
        <f>IFERROR(VLOOKUP(A486, M_S3, 2, FALSE), "")</f>
        <v/>
      </c>
      <c r="D486" t="str">
        <f>IFERROR(VLOOKUP(A486, M_S3, 3, FALSE), "")</f>
        <v/>
      </c>
      <c r="I486" t="str">
        <f>IF('Production &amp; Circular'!B484=0, "", 'Production &amp; Circular'!B484 * (1 - 'Production &amp; Circular'!D484))</f>
        <v/>
      </c>
    </row>
    <row r="487" spans="2:9">
      <c r="B487" t="str">
        <f>IFERROR(VLOOKUP(A487, M_S3, 2, FALSE), "")</f>
        <v/>
      </c>
      <c r="D487" t="str">
        <f>IFERROR(VLOOKUP(A487, M_S3, 3, FALSE), "")</f>
        <v/>
      </c>
      <c r="I487" t="str">
        <f>IF('Production &amp; Circular'!B485=0, "", 'Production &amp; Circular'!B485 * (1 - 'Production &amp; Circular'!D485))</f>
        <v/>
      </c>
    </row>
    <row r="488" spans="2:9">
      <c r="B488" t="str">
        <f>IFERROR(VLOOKUP(A488, M_S3, 2, FALSE), "")</f>
        <v/>
      </c>
      <c r="D488" t="str">
        <f>IFERROR(VLOOKUP(A488, M_S3, 3, FALSE), "")</f>
        <v/>
      </c>
      <c r="I488" t="str">
        <f>IF('Production &amp; Circular'!B486=0, "", 'Production &amp; Circular'!B486 * (1 - 'Production &amp; Circular'!D486))</f>
        <v/>
      </c>
    </row>
    <row r="489" spans="2:9">
      <c r="B489" t="str">
        <f>IFERROR(VLOOKUP(A489, M_S3, 2, FALSE), "")</f>
        <v/>
      </c>
      <c r="D489" t="str">
        <f>IFERROR(VLOOKUP(A489, M_S3, 3, FALSE), "")</f>
        <v/>
      </c>
      <c r="I489" t="str">
        <f>IF('Production &amp; Circular'!B487=0, "", 'Production &amp; Circular'!B487 * (1 - 'Production &amp; Circular'!D487))</f>
        <v/>
      </c>
    </row>
    <row r="490" spans="2:9">
      <c r="B490" t="str">
        <f>IFERROR(VLOOKUP(A490, M_S3, 2, FALSE), "")</f>
        <v/>
      </c>
      <c r="D490" t="str">
        <f>IFERROR(VLOOKUP(A490, M_S3, 3, FALSE), "")</f>
        <v/>
      </c>
      <c r="I490" t="str">
        <f>IF('Production &amp; Circular'!B488=0, "", 'Production &amp; Circular'!B488 * (1 - 'Production &amp; Circular'!D488))</f>
        <v/>
      </c>
    </row>
    <row r="491" spans="2:9">
      <c r="B491" t="str">
        <f>IFERROR(VLOOKUP(A491, M_S3, 2, FALSE), "")</f>
        <v/>
      </c>
      <c r="D491" t="str">
        <f>IFERROR(VLOOKUP(A491, M_S3, 3, FALSE), "")</f>
        <v/>
      </c>
      <c r="I491" t="str">
        <f>IF('Production &amp; Circular'!B489=0, "", 'Production &amp; Circular'!B489 * (1 - 'Production &amp; Circular'!D489))</f>
        <v/>
      </c>
    </row>
    <row r="492" spans="2:9">
      <c r="B492" t="str">
        <f>IFERROR(VLOOKUP(A492, M_S3, 2, FALSE), "")</f>
        <v/>
      </c>
      <c r="D492" t="str">
        <f>IFERROR(VLOOKUP(A492, M_S3, 3, FALSE), "")</f>
        <v/>
      </c>
      <c r="I492" t="str">
        <f>IF('Production &amp; Circular'!B490=0, "", 'Production &amp; Circular'!B490 * (1 - 'Production &amp; Circular'!D490))</f>
        <v/>
      </c>
    </row>
    <row r="493" spans="2:9">
      <c r="B493" t="str">
        <f>IFERROR(VLOOKUP(A493, M_S3, 2, FALSE), "")</f>
        <v/>
      </c>
      <c r="D493" t="str">
        <f>IFERROR(VLOOKUP(A493, M_S3, 3, FALSE), "")</f>
        <v/>
      </c>
      <c r="I493" t="str">
        <f>IF('Production &amp; Circular'!B491=0, "", 'Production &amp; Circular'!B491 * (1 - 'Production &amp; Circular'!D491))</f>
        <v/>
      </c>
    </row>
    <row r="494" spans="2:9">
      <c r="B494" t="str">
        <f>IFERROR(VLOOKUP(A494, M_S3, 2, FALSE), "")</f>
        <v/>
      </c>
      <c r="D494" t="str">
        <f>IFERROR(VLOOKUP(A494, M_S3, 3, FALSE), "")</f>
        <v/>
      </c>
      <c r="I494" t="str">
        <f>IF('Production &amp; Circular'!B492=0, "", 'Production &amp; Circular'!B492 * (1 - 'Production &amp; Circular'!D492))</f>
        <v/>
      </c>
    </row>
    <row r="495" spans="2:9">
      <c r="B495" t="str">
        <f>IFERROR(VLOOKUP(A495, M_S3, 2, FALSE), "")</f>
        <v/>
      </c>
      <c r="D495" t="str">
        <f>IFERROR(VLOOKUP(A495, M_S3, 3, FALSE), "")</f>
        <v/>
      </c>
      <c r="I495" t="str">
        <f>IF('Production &amp; Circular'!B493=0, "", 'Production &amp; Circular'!B493 * (1 - 'Production &amp; Circular'!D493))</f>
        <v/>
      </c>
    </row>
    <row r="496" spans="2:9">
      <c r="B496" t="str">
        <f>IFERROR(VLOOKUP(A496, M_S3, 2, FALSE), "")</f>
        <v/>
      </c>
      <c r="D496" t="str">
        <f>IFERROR(VLOOKUP(A496, M_S3, 3, FALSE), "")</f>
        <v/>
      </c>
      <c r="I496" t="str">
        <f>IF('Production &amp; Circular'!B494=0, "", 'Production &amp; Circular'!B494 * (1 - 'Production &amp; Circular'!D494))</f>
        <v/>
      </c>
    </row>
    <row r="497" spans="2:9">
      <c r="B497" t="str">
        <f>IFERROR(VLOOKUP(A497, M_S3, 2, FALSE), "")</f>
        <v/>
      </c>
      <c r="D497" t="str">
        <f>IFERROR(VLOOKUP(A497, M_S3, 3, FALSE), "")</f>
        <v/>
      </c>
      <c r="I497" t="str">
        <f>IF('Production &amp; Circular'!B495=0, "", 'Production &amp; Circular'!B495 * (1 - 'Production &amp; Circular'!D495))</f>
        <v/>
      </c>
    </row>
    <row r="498" spans="2:9">
      <c r="B498" t="str">
        <f>IFERROR(VLOOKUP(A498, M_S3, 2, FALSE), "")</f>
        <v/>
      </c>
      <c r="D498" t="str">
        <f>IFERROR(VLOOKUP(A498, M_S3, 3, FALSE), "")</f>
        <v/>
      </c>
      <c r="I498" t="str">
        <f>IF('Production &amp; Circular'!B496=0, "", 'Production &amp; Circular'!B496 * (1 - 'Production &amp; Circular'!D496))</f>
        <v/>
      </c>
    </row>
    <row r="499" spans="2:9">
      <c r="B499" t="str">
        <f>IFERROR(VLOOKUP(A499, M_S3, 2, FALSE), "")</f>
        <v/>
      </c>
      <c r="D499" t="str">
        <f>IFERROR(VLOOKUP(A499, M_S3, 3, FALSE), "")</f>
        <v/>
      </c>
      <c r="I499" t="str">
        <f>IF('Production &amp; Circular'!B497=0, "", 'Production &amp; Circular'!B497 * (1 - 'Production &amp; Circular'!D497))</f>
        <v/>
      </c>
    </row>
    <row r="500" spans="2:9">
      <c r="B500" t="str">
        <f>IFERROR(VLOOKUP(A500, M_S3, 2, FALSE), "")</f>
        <v/>
      </c>
      <c r="D500" t="str">
        <f>IFERROR(VLOOKUP(A500, M_S3, 3, FALSE), "")</f>
        <v/>
      </c>
      <c r="I500" t="str">
        <f>IF('Production &amp; Circular'!B498=0, "", 'Production &amp; Circular'!B498 * (1 - 'Production &amp; Circular'!D498))</f>
        <v/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9FBDD9-6810-4666-886C-3BB8B5C08485}">
          <x14:formula1>
            <xm:f>Master!$A$16:$A$37</xm:f>
          </x14:formula1>
          <xm:sqref>A2:A500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0"/>
  <sheetViews>
    <sheetView showZeros="0" zoomScaleNormal="100" workbookViewId="0">
      <selection activeCell="A3" sqref="A3"/>
    </sheetView>
  </sheetViews>
  <sheetFormatPr defaultRowHeight="14.25"/>
  <cols>
    <col min="1" max="1" width="17.25" customWidth="1"/>
    <col min="2" max="2" width="24.125" customWidth="1"/>
    <col min="3" max="3" width="30.5" customWidth="1"/>
    <col min="4" max="4" width="20.25" style="2" customWidth="1"/>
    <col min="5" max="5" width="24.625" style="7" customWidth="1"/>
    <col min="6" max="6" width="23.25" style="2" customWidth="1"/>
    <col min="7" max="7" width="17.625" customWidth="1"/>
    <col min="8" max="8" width="18.25" customWidth="1"/>
    <col min="11" max="11" width="18.25" customWidth="1"/>
  </cols>
  <sheetData>
    <row r="1" spans="1:12">
      <c r="A1" s="1" t="s">
        <v>20</v>
      </c>
      <c r="B1" s="1" t="s">
        <v>21</v>
      </c>
      <c r="C1" s="1" t="s">
        <v>22</v>
      </c>
      <c r="D1" s="3" t="s">
        <v>23</v>
      </c>
      <c r="E1" s="6" t="s">
        <v>24</v>
      </c>
      <c r="F1" s="3" t="s">
        <v>25</v>
      </c>
      <c r="G1" s="1" t="s">
        <v>26</v>
      </c>
      <c r="H1" s="1" t="s">
        <v>27</v>
      </c>
    </row>
    <row r="2" spans="1:12">
      <c r="A2" t="s">
        <v>28</v>
      </c>
      <c r="B2">
        <v>1000</v>
      </c>
      <c r="C2">
        <v>200</v>
      </c>
      <c r="D2" s="2">
        <v>0.95</v>
      </c>
      <c r="E2" s="7">
        <f>IFERROR(Table5[[#This Row],[Circular Feedstock Mass (kg)]]*Table5[[#This Row],[Process Yield (%)]], " ")</f>
        <v>190</v>
      </c>
      <c r="F2" s="2">
        <f>IFERROR(Table5[[#This Row],[Net Circular Mass (kg)]]/Table5[[#This Row],[Total Output Mass (kg)]], "")</f>
        <v>0.19</v>
      </c>
    </row>
    <row r="3" spans="1:12">
      <c r="A3" t="s">
        <v>29</v>
      </c>
      <c r="B3">
        <v>2000</v>
      </c>
      <c r="C3">
        <v>100</v>
      </c>
      <c r="D3" s="2">
        <v>0.98</v>
      </c>
      <c r="E3" s="7">
        <f>IFERROR(Table5[[#This Row],[Circular Feedstock Mass (kg)]]*Table5[[#This Row],[Process Yield (%)]], " ")</f>
        <v>98</v>
      </c>
      <c r="F3" s="2">
        <f>IFERROR(Table5[[#This Row],[Net Circular Mass (kg)]]/Table5[[#This Row],[Total Output Mass (kg)]], "")</f>
        <v>4.9000000000000002E-2</v>
      </c>
      <c r="K3" t="s">
        <v>30</v>
      </c>
      <c r="L3" t="e" cm="1">
        <f t="array" ref="L3">SUM(B2:B500 / D2:D500)</f>
        <v>#DIV/0!</v>
      </c>
    </row>
    <row r="4" spans="1:12">
      <c r="E4" s="7">
        <f>IFERROR(Table5[[#This Row],[Circular Feedstock Mass (kg)]]*Table5[[#This Row],[Process Yield (%)]], " ")</f>
        <v>0</v>
      </c>
      <c r="F4" s="2" t="str">
        <f>IFERROR(Table5[[#This Row],[Net Circular Mass (kg)]]/Table5[[#This Row],[Total Output Mass (kg)]], "")</f>
        <v/>
      </c>
      <c r="K4" t="s">
        <v>31</v>
      </c>
      <c r="L4" cm="1">
        <f t="array" ref="L4">SUM(B2:B500 * (1 - D2:D500))</f>
        <v>90.000000000000085</v>
      </c>
    </row>
    <row r="5" spans="1:12">
      <c r="E5" s="7">
        <f>IFERROR(Table5[[#This Row],[Circular Feedstock Mass (kg)]]*Table5[[#This Row],[Process Yield (%)]], " ")</f>
        <v>0</v>
      </c>
      <c r="F5" s="2" t="str">
        <f>IFERROR(Table5[[#This Row],[Net Circular Mass (kg)]]/Table5[[#This Row],[Total Output Mass (kg)]], "")</f>
        <v/>
      </c>
    </row>
    <row r="6" spans="1:12">
      <c r="E6" s="7">
        <f>IFERROR(Table5[[#This Row],[Circular Feedstock Mass (kg)]]*Table5[[#This Row],[Process Yield (%)]], " ")</f>
        <v>0</v>
      </c>
      <c r="F6" s="2" t="str">
        <f>IFERROR(Table5[[#This Row],[Net Circular Mass (kg)]]/Table5[[#This Row],[Total Output Mass (kg)]], "")</f>
        <v/>
      </c>
    </row>
    <row r="7" spans="1:12">
      <c r="E7" s="7">
        <f>IFERROR(Table5[[#This Row],[Circular Feedstock Mass (kg)]]*Table5[[#This Row],[Process Yield (%)]], " ")</f>
        <v>0</v>
      </c>
      <c r="F7" s="2" t="str">
        <f>IFERROR(Table5[[#This Row],[Net Circular Mass (kg)]]/Table5[[#This Row],[Total Output Mass (kg)]], "")</f>
        <v/>
      </c>
    </row>
    <row r="8" spans="1:12">
      <c r="E8" s="7">
        <f>IFERROR(Table5[[#This Row],[Circular Feedstock Mass (kg)]]*Table5[[#This Row],[Process Yield (%)]], " ")</f>
        <v>0</v>
      </c>
      <c r="F8" s="2" t="str">
        <f>IFERROR(Table5[[#This Row],[Net Circular Mass (kg)]]/Table5[[#This Row],[Total Output Mass (kg)]], "")</f>
        <v/>
      </c>
    </row>
    <row r="9" spans="1:12">
      <c r="E9" s="7">
        <f>IFERROR(Table5[[#This Row],[Circular Feedstock Mass (kg)]]*Table5[[#This Row],[Process Yield (%)]], " ")</f>
        <v>0</v>
      </c>
      <c r="F9" s="2" t="str">
        <f>IFERROR(Table5[[#This Row],[Net Circular Mass (kg)]]/Table5[[#This Row],[Total Output Mass (kg)]], "")</f>
        <v/>
      </c>
    </row>
    <row r="10" spans="1:12">
      <c r="E10" s="7">
        <f>IFERROR(Table5[[#This Row],[Circular Feedstock Mass (kg)]]*Table5[[#This Row],[Process Yield (%)]], " ")</f>
        <v>0</v>
      </c>
      <c r="F10" s="2" t="str">
        <f>IFERROR(Table5[[#This Row],[Net Circular Mass (kg)]]/Table5[[#This Row],[Total Output Mass (kg)]], "")</f>
        <v/>
      </c>
    </row>
    <row r="11" spans="1:12">
      <c r="E11" s="7">
        <f>IFERROR(Table5[[#This Row],[Circular Feedstock Mass (kg)]]*Table5[[#This Row],[Process Yield (%)]], " ")</f>
        <v>0</v>
      </c>
      <c r="F11" s="2" t="str">
        <f>IFERROR(Table5[[#This Row],[Net Circular Mass (kg)]]/Table5[[#This Row],[Total Output Mass (kg)]], "")</f>
        <v/>
      </c>
    </row>
    <row r="12" spans="1:12">
      <c r="E12" s="7">
        <f>IFERROR(Table5[[#This Row],[Circular Feedstock Mass (kg)]]*Table5[[#This Row],[Process Yield (%)]], " ")</f>
        <v>0</v>
      </c>
      <c r="F12" s="2" t="str">
        <f>IFERROR(Table5[[#This Row],[Net Circular Mass (kg)]]/Table5[[#This Row],[Total Output Mass (kg)]], "")</f>
        <v/>
      </c>
    </row>
    <row r="13" spans="1:12">
      <c r="E13" s="7">
        <f>IFERROR(Table5[[#This Row],[Circular Feedstock Mass (kg)]]*Table5[[#This Row],[Process Yield (%)]], " ")</f>
        <v>0</v>
      </c>
      <c r="F13" s="2" t="str">
        <f>IFERROR(Table5[[#This Row],[Net Circular Mass (kg)]]/Table5[[#This Row],[Total Output Mass (kg)]], "")</f>
        <v/>
      </c>
    </row>
    <row r="14" spans="1:12">
      <c r="E14" s="7">
        <f>IFERROR(Table5[[#This Row],[Circular Feedstock Mass (kg)]]*Table5[[#This Row],[Process Yield (%)]], " ")</f>
        <v>0</v>
      </c>
      <c r="F14" s="2" t="str">
        <f>IFERROR(Table5[[#This Row],[Net Circular Mass (kg)]]/Table5[[#This Row],[Total Output Mass (kg)]], "")</f>
        <v/>
      </c>
    </row>
    <row r="15" spans="1:12">
      <c r="E15" s="7">
        <f>IFERROR(Table5[[#This Row],[Circular Feedstock Mass (kg)]]*Table5[[#This Row],[Process Yield (%)]], " ")</f>
        <v>0</v>
      </c>
      <c r="F15" s="2" t="str">
        <f>IFERROR(Table5[[#This Row],[Net Circular Mass (kg)]]/Table5[[#This Row],[Total Output Mass (kg)]], "")</f>
        <v/>
      </c>
    </row>
    <row r="16" spans="1:12">
      <c r="E16" s="7">
        <f>IFERROR(Table5[[#This Row],[Circular Feedstock Mass (kg)]]*Table5[[#This Row],[Process Yield (%)]], " ")</f>
        <v>0</v>
      </c>
      <c r="F16" s="2" t="str">
        <f>IFERROR(Table5[[#This Row],[Net Circular Mass (kg)]]/Table5[[#This Row],[Total Output Mass (kg)]], "")</f>
        <v/>
      </c>
    </row>
    <row r="17" spans="5:6">
      <c r="E17" s="7">
        <f>IFERROR(Table5[[#This Row],[Circular Feedstock Mass (kg)]]*Table5[[#This Row],[Process Yield (%)]], " ")</f>
        <v>0</v>
      </c>
      <c r="F17" s="2" t="str">
        <f>IFERROR(Table5[[#This Row],[Net Circular Mass (kg)]]/Table5[[#This Row],[Total Output Mass (kg)]], "")</f>
        <v/>
      </c>
    </row>
    <row r="18" spans="5:6">
      <c r="E18" s="7">
        <f>IFERROR(Table5[[#This Row],[Circular Feedstock Mass (kg)]]*Table5[[#This Row],[Process Yield (%)]], " ")</f>
        <v>0</v>
      </c>
      <c r="F18" s="2" t="str">
        <f>IFERROR(Table5[[#This Row],[Net Circular Mass (kg)]]/Table5[[#This Row],[Total Output Mass (kg)]], "")</f>
        <v/>
      </c>
    </row>
    <row r="19" spans="5:6">
      <c r="E19" s="7">
        <f>IFERROR(Table5[[#This Row],[Circular Feedstock Mass (kg)]]*Table5[[#This Row],[Process Yield (%)]], " ")</f>
        <v>0</v>
      </c>
      <c r="F19" s="2" t="str">
        <f>IFERROR(Table5[[#This Row],[Net Circular Mass (kg)]]/Table5[[#This Row],[Total Output Mass (kg)]], "")</f>
        <v/>
      </c>
    </row>
    <row r="20" spans="5:6">
      <c r="E20" s="7">
        <f>IFERROR(Table5[[#This Row],[Circular Feedstock Mass (kg)]]*Table5[[#This Row],[Process Yield (%)]], " ")</f>
        <v>0</v>
      </c>
      <c r="F20" s="2" t="str">
        <f>IFERROR(Table5[[#This Row],[Net Circular Mass (kg)]]/Table5[[#This Row],[Total Output Mass (kg)]], "")</f>
        <v/>
      </c>
    </row>
    <row r="21" spans="5:6">
      <c r="E21" s="7">
        <f>IFERROR(Table5[[#This Row],[Circular Feedstock Mass (kg)]]*Table5[[#This Row],[Process Yield (%)]], " ")</f>
        <v>0</v>
      </c>
      <c r="F21" s="2" t="str">
        <f>IFERROR(Table5[[#This Row],[Net Circular Mass (kg)]]/Table5[[#This Row],[Total Output Mass (kg)]], "")</f>
        <v/>
      </c>
    </row>
    <row r="22" spans="5:6">
      <c r="E22" s="7">
        <f>IFERROR(Table5[[#This Row],[Circular Feedstock Mass (kg)]]*Table5[[#This Row],[Process Yield (%)]], " ")</f>
        <v>0</v>
      </c>
      <c r="F22" s="2" t="str">
        <f>IFERROR(Table5[[#This Row],[Net Circular Mass (kg)]]/Table5[[#This Row],[Total Output Mass (kg)]], "")</f>
        <v/>
      </c>
    </row>
    <row r="23" spans="5:6">
      <c r="E23" s="7">
        <f>IFERROR(Table5[[#This Row],[Circular Feedstock Mass (kg)]]*Table5[[#This Row],[Process Yield (%)]], " ")</f>
        <v>0</v>
      </c>
      <c r="F23" s="2" t="str">
        <f>IFERROR(Table5[[#This Row],[Net Circular Mass (kg)]]/Table5[[#This Row],[Total Output Mass (kg)]], "")</f>
        <v/>
      </c>
    </row>
    <row r="24" spans="5:6">
      <c r="E24" s="7">
        <f>IFERROR(Table5[[#This Row],[Circular Feedstock Mass (kg)]]*Table5[[#This Row],[Process Yield (%)]], " ")</f>
        <v>0</v>
      </c>
      <c r="F24" s="2" t="str">
        <f>IFERROR(Table5[[#This Row],[Net Circular Mass (kg)]]/Table5[[#This Row],[Total Output Mass (kg)]], "")</f>
        <v/>
      </c>
    </row>
    <row r="25" spans="5:6">
      <c r="E25" s="7">
        <f>IFERROR(Table5[[#This Row],[Circular Feedstock Mass (kg)]]*Table5[[#This Row],[Process Yield (%)]], " ")</f>
        <v>0</v>
      </c>
      <c r="F25" s="2" t="str">
        <f>IFERROR(Table5[[#This Row],[Net Circular Mass (kg)]]/Table5[[#This Row],[Total Output Mass (kg)]], "")</f>
        <v/>
      </c>
    </row>
    <row r="26" spans="5:6">
      <c r="E26" s="7">
        <f>IFERROR(Table5[[#This Row],[Circular Feedstock Mass (kg)]]*Table5[[#This Row],[Process Yield (%)]], " ")</f>
        <v>0</v>
      </c>
      <c r="F26" s="2" t="str">
        <f>IFERROR(Table5[[#This Row],[Net Circular Mass (kg)]]/Table5[[#This Row],[Total Output Mass (kg)]], "")</f>
        <v/>
      </c>
    </row>
    <row r="27" spans="5:6">
      <c r="E27" s="7">
        <f>IFERROR(Table5[[#This Row],[Circular Feedstock Mass (kg)]]*Table5[[#This Row],[Process Yield (%)]], " ")</f>
        <v>0</v>
      </c>
      <c r="F27" s="2" t="str">
        <f>IFERROR(Table5[[#This Row],[Net Circular Mass (kg)]]/Table5[[#This Row],[Total Output Mass (kg)]], "")</f>
        <v/>
      </c>
    </row>
    <row r="28" spans="5:6">
      <c r="E28" s="7">
        <f>IFERROR(Table5[[#This Row],[Circular Feedstock Mass (kg)]]*Table5[[#This Row],[Process Yield (%)]], " ")</f>
        <v>0</v>
      </c>
      <c r="F28" s="2" t="str">
        <f>IFERROR(Table5[[#This Row],[Net Circular Mass (kg)]]/Table5[[#This Row],[Total Output Mass (kg)]], "")</f>
        <v/>
      </c>
    </row>
    <row r="29" spans="5:6">
      <c r="E29" s="7">
        <f>IFERROR(Table5[[#This Row],[Circular Feedstock Mass (kg)]]*Table5[[#This Row],[Process Yield (%)]], " ")</f>
        <v>0</v>
      </c>
      <c r="F29" s="2" t="str">
        <f>IFERROR(Table5[[#This Row],[Net Circular Mass (kg)]]/Table5[[#This Row],[Total Output Mass (kg)]], "")</f>
        <v/>
      </c>
    </row>
    <row r="30" spans="5:6">
      <c r="E30" s="7">
        <f>IFERROR(Table5[[#This Row],[Circular Feedstock Mass (kg)]]*Table5[[#This Row],[Process Yield (%)]], " ")</f>
        <v>0</v>
      </c>
      <c r="F30" s="2" t="str">
        <f>IFERROR(Table5[[#This Row],[Net Circular Mass (kg)]]/Table5[[#This Row],[Total Output Mass (kg)]], "")</f>
        <v/>
      </c>
    </row>
    <row r="31" spans="5:6">
      <c r="E31" s="7">
        <f>IFERROR(Table5[[#This Row],[Circular Feedstock Mass (kg)]]*Table5[[#This Row],[Process Yield (%)]], " ")</f>
        <v>0</v>
      </c>
      <c r="F31" s="2" t="str">
        <f>IFERROR(Table5[[#This Row],[Net Circular Mass (kg)]]/Table5[[#This Row],[Total Output Mass (kg)]], "")</f>
        <v/>
      </c>
    </row>
    <row r="32" spans="5:6">
      <c r="E32" s="7">
        <f>IFERROR(Table5[[#This Row],[Circular Feedstock Mass (kg)]]*Table5[[#This Row],[Process Yield (%)]], " ")</f>
        <v>0</v>
      </c>
      <c r="F32" s="2" t="str">
        <f>IFERROR(Table5[[#This Row],[Net Circular Mass (kg)]]/Table5[[#This Row],[Total Output Mass (kg)]], "")</f>
        <v/>
      </c>
    </row>
    <row r="33" spans="5:6">
      <c r="E33" s="7">
        <f>IFERROR(Table5[[#This Row],[Circular Feedstock Mass (kg)]]*Table5[[#This Row],[Process Yield (%)]], " ")</f>
        <v>0</v>
      </c>
      <c r="F33" s="2" t="str">
        <f>IFERROR(Table5[[#This Row],[Net Circular Mass (kg)]]/Table5[[#This Row],[Total Output Mass (kg)]], "")</f>
        <v/>
      </c>
    </row>
    <row r="34" spans="5:6">
      <c r="E34" s="7">
        <f>IFERROR(Table5[[#This Row],[Circular Feedstock Mass (kg)]]*Table5[[#This Row],[Process Yield (%)]], " ")</f>
        <v>0</v>
      </c>
      <c r="F34" s="2" t="str">
        <f>IFERROR(Table5[[#This Row],[Net Circular Mass (kg)]]/Table5[[#This Row],[Total Output Mass (kg)]], "")</f>
        <v/>
      </c>
    </row>
    <row r="35" spans="5:6">
      <c r="E35" s="7">
        <f>IFERROR(Table5[[#This Row],[Circular Feedstock Mass (kg)]]*Table5[[#This Row],[Process Yield (%)]], " ")</f>
        <v>0</v>
      </c>
      <c r="F35" s="2" t="str">
        <f>IFERROR(Table5[[#This Row],[Net Circular Mass (kg)]]/Table5[[#This Row],[Total Output Mass (kg)]], "")</f>
        <v/>
      </c>
    </row>
    <row r="36" spans="5:6">
      <c r="E36" s="7">
        <f>IFERROR(Table5[[#This Row],[Circular Feedstock Mass (kg)]]*Table5[[#This Row],[Process Yield (%)]], " ")</f>
        <v>0</v>
      </c>
      <c r="F36" s="2" t="str">
        <f>IFERROR(Table5[[#This Row],[Net Circular Mass (kg)]]/Table5[[#This Row],[Total Output Mass (kg)]], "")</f>
        <v/>
      </c>
    </row>
    <row r="37" spans="5:6">
      <c r="E37" s="7">
        <f>IFERROR(Table5[[#This Row],[Circular Feedstock Mass (kg)]]*Table5[[#This Row],[Process Yield (%)]], " ")</f>
        <v>0</v>
      </c>
      <c r="F37" s="2" t="str">
        <f>IFERROR(Table5[[#This Row],[Net Circular Mass (kg)]]/Table5[[#This Row],[Total Output Mass (kg)]], "")</f>
        <v/>
      </c>
    </row>
    <row r="38" spans="5:6">
      <c r="E38" s="7">
        <f>IFERROR(Table5[[#This Row],[Circular Feedstock Mass (kg)]]*Table5[[#This Row],[Process Yield (%)]], " ")</f>
        <v>0</v>
      </c>
      <c r="F38" s="2" t="str">
        <f>IFERROR(Table5[[#This Row],[Net Circular Mass (kg)]]/Table5[[#This Row],[Total Output Mass (kg)]], "")</f>
        <v/>
      </c>
    </row>
    <row r="39" spans="5:6">
      <c r="E39" s="7">
        <f>IFERROR(Table5[[#This Row],[Circular Feedstock Mass (kg)]]*Table5[[#This Row],[Process Yield (%)]], " ")</f>
        <v>0</v>
      </c>
      <c r="F39" s="2" t="str">
        <f>IFERROR(Table5[[#This Row],[Net Circular Mass (kg)]]/Table5[[#This Row],[Total Output Mass (kg)]], "")</f>
        <v/>
      </c>
    </row>
    <row r="40" spans="5:6">
      <c r="E40" s="7">
        <f>IFERROR(Table5[[#This Row],[Circular Feedstock Mass (kg)]]*Table5[[#This Row],[Process Yield (%)]], " ")</f>
        <v>0</v>
      </c>
      <c r="F40" s="2" t="str">
        <f>IFERROR(Table5[[#This Row],[Net Circular Mass (kg)]]/Table5[[#This Row],[Total Output Mass (kg)]], "")</f>
        <v/>
      </c>
    </row>
    <row r="41" spans="5:6">
      <c r="E41" s="7">
        <f>IFERROR(Table5[[#This Row],[Circular Feedstock Mass (kg)]]*Table5[[#This Row],[Process Yield (%)]], " ")</f>
        <v>0</v>
      </c>
      <c r="F41" s="2" t="str">
        <f>IFERROR(Table5[[#This Row],[Net Circular Mass (kg)]]/Table5[[#This Row],[Total Output Mass (kg)]], "")</f>
        <v/>
      </c>
    </row>
    <row r="42" spans="5:6">
      <c r="E42" s="7">
        <f>IFERROR(Table5[[#This Row],[Circular Feedstock Mass (kg)]]*Table5[[#This Row],[Process Yield (%)]], " ")</f>
        <v>0</v>
      </c>
      <c r="F42" s="2" t="str">
        <f>IFERROR(Table5[[#This Row],[Net Circular Mass (kg)]]/Table5[[#This Row],[Total Output Mass (kg)]], "")</f>
        <v/>
      </c>
    </row>
    <row r="43" spans="5:6">
      <c r="E43" s="7">
        <f>IFERROR(Table5[[#This Row],[Circular Feedstock Mass (kg)]]*Table5[[#This Row],[Process Yield (%)]], " ")</f>
        <v>0</v>
      </c>
      <c r="F43" s="2" t="str">
        <f>IFERROR(Table5[[#This Row],[Net Circular Mass (kg)]]/Table5[[#This Row],[Total Output Mass (kg)]], "")</f>
        <v/>
      </c>
    </row>
    <row r="44" spans="5:6">
      <c r="E44" s="7">
        <f>IFERROR(Table5[[#This Row],[Circular Feedstock Mass (kg)]]*Table5[[#This Row],[Process Yield (%)]], " ")</f>
        <v>0</v>
      </c>
      <c r="F44" s="2" t="str">
        <f>IFERROR(Table5[[#This Row],[Net Circular Mass (kg)]]/Table5[[#This Row],[Total Output Mass (kg)]], "")</f>
        <v/>
      </c>
    </row>
    <row r="45" spans="5:6">
      <c r="E45" s="7">
        <f>IFERROR(Table5[[#This Row],[Circular Feedstock Mass (kg)]]*Table5[[#This Row],[Process Yield (%)]], " ")</f>
        <v>0</v>
      </c>
      <c r="F45" s="2" t="str">
        <f>IFERROR(Table5[[#This Row],[Net Circular Mass (kg)]]/Table5[[#This Row],[Total Output Mass (kg)]], "")</f>
        <v/>
      </c>
    </row>
    <row r="46" spans="5:6">
      <c r="E46" s="7">
        <f>IFERROR(Table5[[#This Row],[Circular Feedstock Mass (kg)]]*Table5[[#This Row],[Process Yield (%)]], " ")</f>
        <v>0</v>
      </c>
      <c r="F46" s="2" t="str">
        <f>IFERROR(Table5[[#This Row],[Net Circular Mass (kg)]]/Table5[[#This Row],[Total Output Mass (kg)]], "")</f>
        <v/>
      </c>
    </row>
    <row r="47" spans="5:6">
      <c r="E47" s="7">
        <f>IFERROR(Table5[[#This Row],[Circular Feedstock Mass (kg)]]*Table5[[#This Row],[Process Yield (%)]], " ")</f>
        <v>0</v>
      </c>
      <c r="F47" s="2" t="str">
        <f>IFERROR(Table5[[#This Row],[Net Circular Mass (kg)]]/Table5[[#This Row],[Total Output Mass (kg)]], "")</f>
        <v/>
      </c>
    </row>
    <row r="48" spans="5:6">
      <c r="E48" s="7">
        <f>IFERROR(Table5[[#This Row],[Circular Feedstock Mass (kg)]]*Table5[[#This Row],[Process Yield (%)]], " ")</f>
        <v>0</v>
      </c>
      <c r="F48" s="2" t="str">
        <f>IFERROR(Table5[[#This Row],[Net Circular Mass (kg)]]/Table5[[#This Row],[Total Output Mass (kg)]], "")</f>
        <v/>
      </c>
    </row>
    <row r="49" spans="5:6">
      <c r="E49" s="7">
        <f>IFERROR(Table5[[#This Row],[Circular Feedstock Mass (kg)]]*Table5[[#This Row],[Process Yield (%)]], " ")</f>
        <v>0</v>
      </c>
      <c r="F49" s="2" t="str">
        <f>IFERROR(Table5[[#This Row],[Net Circular Mass (kg)]]/Table5[[#This Row],[Total Output Mass (kg)]], "")</f>
        <v/>
      </c>
    </row>
    <row r="50" spans="5:6">
      <c r="E50" s="7">
        <f>IFERROR(Table5[[#This Row],[Circular Feedstock Mass (kg)]]*Table5[[#This Row],[Process Yield (%)]], " ")</f>
        <v>0</v>
      </c>
      <c r="F50" s="2" t="str">
        <f>IFERROR(Table5[[#This Row],[Net Circular Mass (kg)]]/Table5[[#This Row],[Total Output Mass (kg)]], "")</f>
        <v/>
      </c>
    </row>
    <row r="51" spans="5:6">
      <c r="E51" s="7">
        <f>IFERROR(Table5[[#This Row],[Circular Feedstock Mass (kg)]]*Table5[[#This Row],[Process Yield (%)]], " ")</f>
        <v>0</v>
      </c>
      <c r="F51" s="2" t="str">
        <f>IFERROR(Table5[[#This Row],[Net Circular Mass (kg)]]/Table5[[#This Row],[Total Output Mass (kg)]], "")</f>
        <v/>
      </c>
    </row>
    <row r="52" spans="5:6">
      <c r="E52" s="7">
        <f>IFERROR(Table5[[#This Row],[Circular Feedstock Mass (kg)]]*Table5[[#This Row],[Process Yield (%)]], " ")</f>
        <v>0</v>
      </c>
      <c r="F52" s="2" t="str">
        <f>IFERROR(Table5[[#This Row],[Net Circular Mass (kg)]]/Table5[[#This Row],[Total Output Mass (kg)]], "")</f>
        <v/>
      </c>
    </row>
    <row r="53" spans="5:6">
      <c r="E53" s="7">
        <f>IFERROR(Table5[[#This Row],[Circular Feedstock Mass (kg)]]*Table5[[#This Row],[Process Yield (%)]], " ")</f>
        <v>0</v>
      </c>
      <c r="F53" s="2" t="str">
        <f>IFERROR(Table5[[#This Row],[Net Circular Mass (kg)]]/Table5[[#This Row],[Total Output Mass (kg)]], "")</f>
        <v/>
      </c>
    </row>
    <row r="54" spans="5:6">
      <c r="E54" s="7">
        <f>IFERROR(Table5[[#This Row],[Circular Feedstock Mass (kg)]]*Table5[[#This Row],[Process Yield (%)]], " ")</f>
        <v>0</v>
      </c>
      <c r="F54" s="2" t="str">
        <f>IFERROR(Table5[[#This Row],[Net Circular Mass (kg)]]/Table5[[#This Row],[Total Output Mass (kg)]], "")</f>
        <v/>
      </c>
    </row>
    <row r="55" spans="5:6">
      <c r="E55" s="7">
        <f>IFERROR(Table5[[#This Row],[Circular Feedstock Mass (kg)]]*Table5[[#This Row],[Process Yield (%)]], " ")</f>
        <v>0</v>
      </c>
      <c r="F55" s="2" t="str">
        <f>IFERROR(Table5[[#This Row],[Net Circular Mass (kg)]]/Table5[[#This Row],[Total Output Mass (kg)]], "")</f>
        <v/>
      </c>
    </row>
    <row r="56" spans="5:6">
      <c r="E56" s="7">
        <f>IFERROR(Table5[[#This Row],[Circular Feedstock Mass (kg)]]*Table5[[#This Row],[Process Yield (%)]], " ")</f>
        <v>0</v>
      </c>
      <c r="F56" s="2" t="str">
        <f>IFERROR(Table5[[#This Row],[Net Circular Mass (kg)]]/Table5[[#This Row],[Total Output Mass (kg)]], "")</f>
        <v/>
      </c>
    </row>
    <row r="57" spans="5:6">
      <c r="E57" s="7">
        <f>IFERROR(Table5[[#This Row],[Circular Feedstock Mass (kg)]]*Table5[[#This Row],[Process Yield (%)]], " ")</f>
        <v>0</v>
      </c>
      <c r="F57" s="2" t="str">
        <f>IFERROR(Table5[[#This Row],[Net Circular Mass (kg)]]/Table5[[#This Row],[Total Output Mass (kg)]], "")</f>
        <v/>
      </c>
    </row>
    <row r="58" spans="5:6">
      <c r="E58" s="7">
        <f>IFERROR(Table5[[#This Row],[Circular Feedstock Mass (kg)]]*Table5[[#This Row],[Process Yield (%)]], " ")</f>
        <v>0</v>
      </c>
      <c r="F58" s="2" t="str">
        <f>IFERROR(Table5[[#This Row],[Net Circular Mass (kg)]]/Table5[[#This Row],[Total Output Mass (kg)]], "")</f>
        <v/>
      </c>
    </row>
    <row r="59" spans="5:6">
      <c r="E59" s="7">
        <f>IFERROR(Table5[[#This Row],[Circular Feedstock Mass (kg)]]*Table5[[#This Row],[Process Yield (%)]], " ")</f>
        <v>0</v>
      </c>
      <c r="F59" s="2" t="str">
        <f>IFERROR(Table5[[#This Row],[Net Circular Mass (kg)]]/Table5[[#This Row],[Total Output Mass (kg)]], "")</f>
        <v/>
      </c>
    </row>
    <row r="60" spans="5:6">
      <c r="E60" s="7">
        <f>IFERROR(Table5[[#This Row],[Circular Feedstock Mass (kg)]]*Table5[[#This Row],[Process Yield (%)]], " ")</f>
        <v>0</v>
      </c>
      <c r="F60" s="2" t="str">
        <f>IFERROR(Table5[[#This Row],[Net Circular Mass (kg)]]/Table5[[#This Row],[Total Output Mass (kg)]], "")</f>
        <v/>
      </c>
    </row>
    <row r="61" spans="5:6">
      <c r="E61" s="7">
        <f>IFERROR(Table5[[#This Row],[Circular Feedstock Mass (kg)]]*Table5[[#This Row],[Process Yield (%)]], " ")</f>
        <v>0</v>
      </c>
      <c r="F61" s="2" t="str">
        <f>IFERROR(Table5[[#This Row],[Net Circular Mass (kg)]]/Table5[[#This Row],[Total Output Mass (kg)]], "")</f>
        <v/>
      </c>
    </row>
    <row r="62" spans="5:6">
      <c r="E62" s="7">
        <f>IFERROR(Table5[[#This Row],[Circular Feedstock Mass (kg)]]*Table5[[#This Row],[Process Yield (%)]], " ")</f>
        <v>0</v>
      </c>
      <c r="F62" s="2" t="str">
        <f>IFERROR(Table5[[#This Row],[Net Circular Mass (kg)]]/Table5[[#This Row],[Total Output Mass (kg)]], "")</f>
        <v/>
      </c>
    </row>
    <row r="63" spans="5:6">
      <c r="E63" s="7">
        <f>IFERROR(Table5[[#This Row],[Circular Feedstock Mass (kg)]]*Table5[[#This Row],[Process Yield (%)]], " ")</f>
        <v>0</v>
      </c>
      <c r="F63" s="2" t="str">
        <f>IFERROR(Table5[[#This Row],[Net Circular Mass (kg)]]/Table5[[#This Row],[Total Output Mass (kg)]], "")</f>
        <v/>
      </c>
    </row>
    <row r="64" spans="5:6">
      <c r="E64" s="7">
        <f>IFERROR(Table5[[#This Row],[Circular Feedstock Mass (kg)]]*Table5[[#This Row],[Process Yield (%)]], " ")</f>
        <v>0</v>
      </c>
      <c r="F64" s="2" t="str">
        <f>IFERROR(Table5[[#This Row],[Net Circular Mass (kg)]]/Table5[[#This Row],[Total Output Mass (kg)]], "")</f>
        <v/>
      </c>
    </row>
    <row r="65" spans="5:6">
      <c r="E65" s="7">
        <f>IFERROR(Table5[[#This Row],[Circular Feedstock Mass (kg)]]*Table5[[#This Row],[Process Yield (%)]], " ")</f>
        <v>0</v>
      </c>
      <c r="F65" s="2" t="str">
        <f>IFERROR(Table5[[#This Row],[Net Circular Mass (kg)]]/Table5[[#This Row],[Total Output Mass (kg)]], "")</f>
        <v/>
      </c>
    </row>
    <row r="66" spans="5:6">
      <c r="E66" s="7">
        <f>IFERROR(Table5[[#This Row],[Circular Feedstock Mass (kg)]]*Table5[[#This Row],[Process Yield (%)]], " ")</f>
        <v>0</v>
      </c>
      <c r="F66" s="2" t="str">
        <f>IFERROR(Table5[[#This Row],[Net Circular Mass (kg)]]/Table5[[#This Row],[Total Output Mass (kg)]], "")</f>
        <v/>
      </c>
    </row>
    <row r="67" spans="5:6">
      <c r="E67" s="7">
        <f>IFERROR(Table5[[#This Row],[Circular Feedstock Mass (kg)]]*Table5[[#This Row],[Process Yield (%)]], " ")</f>
        <v>0</v>
      </c>
      <c r="F67" s="2" t="str">
        <f>IFERROR(Table5[[#This Row],[Net Circular Mass (kg)]]/Table5[[#This Row],[Total Output Mass (kg)]], "")</f>
        <v/>
      </c>
    </row>
    <row r="68" spans="5:6">
      <c r="E68" s="7">
        <f>IFERROR(Table5[[#This Row],[Circular Feedstock Mass (kg)]]*Table5[[#This Row],[Process Yield (%)]], " ")</f>
        <v>0</v>
      </c>
      <c r="F68" s="2" t="str">
        <f>IFERROR(Table5[[#This Row],[Net Circular Mass (kg)]]/Table5[[#This Row],[Total Output Mass (kg)]], "")</f>
        <v/>
      </c>
    </row>
    <row r="69" spans="5:6">
      <c r="E69" s="7">
        <f>IFERROR(Table5[[#This Row],[Circular Feedstock Mass (kg)]]*Table5[[#This Row],[Process Yield (%)]], " ")</f>
        <v>0</v>
      </c>
      <c r="F69" s="2" t="str">
        <f>IFERROR(Table5[[#This Row],[Net Circular Mass (kg)]]/Table5[[#This Row],[Total Output Mass (kg)]], "")</f>
        <v/>
      </c>
    </row>
    <row r="70" spans="5:6">
      <c r="E70" s="7">
        <f>IFERROR(Table5[[#This Row],[Circular Feedstock Mass (kg)]]*Table5[[#This Row],[Process Yield (%)]], " ")</f>
        <v>0</v>
      </c>
      <c r="F70" s="2" t="str">
        <f>IFERROR(Table5[[#This Row],[Net Circular Mass (kg)]]/Table5[[#This Row],[Total Output Mass (kg)]], "")</f>
        <v/>
      </c>
    </row>
    <row r="71" spans="5:6">
      <c r="E71" s="7">
        <f>IFERROR(Table5[[#This Row],[Circular Feedstock Mass (kg)]]*Table5[[#This Row],[Process Yield (%)]], " ")</f>
        <v>0</v>
      </c>
      <c r="F71" s="2" t="str">
        <f>IFERROR(Table5[[#This Row],[Net Circular Mass (kg)]]/Table5[[#This Row],[Total Output Mass (kg)]], "")</f>
        <v/>
      </c>
    </row>
    <row r="72" spans="5:6">
      <c r="E72" s="7">
        <f>IFERROR(Table5[[#This Row],[Circular Feedstock Mass (kg)]]*Table5[[#This Row],[Process Yield (%)]], " ")</f>
        <v>0</v>
      </c>
      <c r="F72" s="2" t="str">
        <f>IFERROR(Table5[[#This Row],[Net Circular Mass (kg)]]/Table5[[#This Row],[Total Output Mass (kg)]], "")</f>
        <v/>
      </c>
    </row>
    <row r="73" spans="5:6">
      <c r="E73" s="7">
        <f>IFERROR(Table5[[#This Row],[Circular Feedstock Mass (kg)]]*Table5[[#This Row],[Process Yield (%)]], " ")</f>
        <v>0</v>
      </c>
      <c r="F73" s="2" t="str">
        <f>IFERROR(Table5[[#This Row],[Net Circular Mass (kg)]]/Table5[[#This Row],[Total Output Mass (kg)]], "")</f>
        <v/>
      </c>
    </row>
    <row r="74" spans="5:6">
      <c r="E74" s="7">
        <f>IFERROR(Table5[[#This Row],[Circular Feedstock Mass (kg)]]*Table5[[#This Row],[Process Yield (%)]], " ")</f>
        <v>0</v>
      </c>
      <c r="F74" s="2" t="str">
        <f>IFERROR(Table5[[#This Row],[Net Circular Mass (kg)]]/Table5[[#This Row],[Total Output Mass (kg)]], "")</f>
        <v/>
      </c>
    </row>
    <row r="75" spans="5:6">
      <c r="E75" s="7">
        <f>IFERROR(Table5[[#This Row],[Circular Feedstock Mass (kg)]]*Table5[[#This Row],[Process Yield (%)]], " ")</f>
        <v>0</v>
      </c>
      <c r="F75" s="2" t="str">
        <f>IFERROR(Table5[[#This Row],[Net Circular Mass (kg)]]/Table5[[#This Row],[Total Output Mass (kg)]], "")</f>
        <v/>
      </c>
    </row>
    <row r="76" spans="5:6">
      <c r="E76" s="7">
        <f>IFERROR(Table5[[#This Row],[Circular Feedstock Mass (kg)]]*Table5[[#This Row],[Process Yield (%)]], " ")</f>
        <v>0</v>
      </c>
      <c r="F76" s="2" t="str">
        <f>IFERROR(Table5[[#This Row],[Net Circular Mass (kg)]]/Table5[[#This Row],[Total Output Mass (kg)]], "")</f>
        <v/>
      </c>
    </row>
    <row r="77" spans="5:6">
      <c r="E77" s="7">
        <f>IFERROR(Table5[[#This Row],[Circular Feedstock Mass (kg)]]*Table5[[#This Row],[Process Yield (%)]], " ")</f>
        <v>0</v>
      </c>
      <c r="F77" s="2" t="str">
        <f>IFERROR(Table5[[#This Row],[Net Circular Mass (kg)]]/Table5[[#This Row],[Total Output Mass (kg)]], "")</f>
        <v/>
      </c>
    </row>
    <row r="78" spans="5:6">
      <c r="E78" s="7">
        <f>IFERROR(Table5[[#This Row],[Circular Feedstock Mass (kg)]]*Table5[[#This Row],[Process Yield (%)]], " ")</f>
        <v>0</v>
      </c>
      <c r="F78" s="2" t="str">
        <f>IFERROR(Table5[[#This Row],[Net Circular Mass (kg)]]/Table5[[#This Row],[Total Output Mass (kg)]], "")</f>
        <v/>
      </c>
    </row>
    <row r="79" spans="5:6">
      <c r="E79" s="7">
        <f>IFERROR(Table5[[#This Row],[Circular Feedstock Mass (kg)]]*Table5[[#This Row],[Process Yield (%)]], " ")</f>
        <v>0</v>
      </c>
      <c r="F79" s="2" t="str">
        <f>IFERROR(Table5[[#This Row],[Net Circular Mass (kg)]]/Table5[[#This Row],[Total Output Mass (kg)]], "")</f>
        <v/>
      </c>
    </row>
    <row r="80" spans="5:6">
      <c r="E80" s="7">
        <f>IFERROR(Table5[[#This Row],[Circular Feedstock Mass (kg)]]*Table5[[#This Row],[Process Yield (%)]], " ")</f>
        <v>0</v>
      </c>
      <c r="F80" s="2" t="str">
        <f>IFERROR(Table5[[#This Row],[Net Circular Mass (kg)]]/Table5[[#This Row],[Total Output Mass (kg)]], "")</f>
        <v/>
      </c>
    </row>
    <row r="81" spans="5:6">
      <c r="E81" s="7">
        <f>IFERROR(Table5[[#This Row],[Circular Feedstock Mass (kg)]]*Table5[[#This Row],[Process Yield (%)]], " ")</f>
        <v>0</v>
      </c>
      <c r="F81" s="2" t="str">
        <f>IFERROR(Table5[[#This Row],[Net Circular Mass (kg)]]/Table5[[#This Row],[Total Output Mass (kg)]], "")</f>
        <v/>
      </c>
    </row>
    <row r="82" spans="5:6">
      <c r="E82" s="7">
        <f>IFERROR(Table5[[#This Row],[Circular Feedstock Mass (kg)]]*Table5[[#This Row],[Process Yield (%)]], " ")</f>
        <v>0</v>
      </c>
      <c r="F82" s="2" t="str">
        <f>IFERROR(Table5[[#This Row],[Net Circular Mass (kg)]]/Table5[[#This Row],[Total Output Mass (kg)]], "")</f>
        <v/>
      </c>
    </row>
    <row r="83" spans="5:6">
      <c r="E83" s="7">
        <f>IFERROR(Table5[[#This Row],[Circular Feedstock Mass (kg)]]*Table5[[#This Row],[Process Yield (%)]], " ")</f>
        <v>0</v>
      </c>
      <c r="F83" s="2" t="str">
        <f>IFERROR(Table5[[#This Row],[Net Circular Mass (kg)]]/Table5[[#This Row],[Total Output Mass (kg)]], "")</f>
        <v/>
      </c>
    </row>
    <row r="84" spans="5:6">
      <c r="E84" s="7">
        <f>IFERROR(Table5[[#This Row],[Circular Feedstock Mass (kg)]]*Table5[[#This Row],[Process Yield (%)]], " ")</f>
        <v>0</v>
      </c>
      <c r="F84" s="2" t="str">
        <f>IFERROR(Table5[[#This Row],[Net Circular Mass (kg)]]/Table5[[#This Row],[Total Output Mass (kg)]], "")</f>
        <v/>
      </c>
    </row>
    <row r="85" spans="5:6">
      <c r="E85" s="7">
        <f>IFERROR(Table5[[#This Row],[Circular Feedstock Mass (kg)]]*Table5[[#This Row],[Process Yield (%)]], " ")</f>
        <v>0</v>
      </c>
      <c r="F85" s="2" t="str">
        <f>IFERROR(Table5[[#This Row],[Net Circular Mass (kg)]]/Table5[[#This Row],[Total Output Mass (kg)]], "")</f>
        <v/>
      </c>
    </row>
    <row r="86" spans="5:6">
      <c r="E86" s="7">
        <f>IFERROR(Table5[[#This Row],[Circular Feedstock Mass (kg)]]*Table5[[#This Row],[Process Yield (%)]], " ")</f>
        <v>0</v>
      </c>
      <c r="F86" s="2" t="str">
        <f>IFERROR(Table5[[#This Row],[Net Circular Mass (kg)]]/Table5[[#This Row],[Total Output Mass (kg)]], "")</f>
        <v/>
      </c>
    </row>
    <row r="87" spans="5:6">
      <c r="E87" s="7">
        <f>IFERROR(Table5[[#This Row],[Circular Feedstock Mass (kg)]]*Table5[[#This Row],[Process Yield (%)]], " ")</f>
        <v>0</v>
      </c>
      <c r="F87" s="2" t="str">
        <f>IFERROR(Table5[[#This Row],[Net Circular Mass (kg)]]/Table5[[#This Row],[Total Output Mass (kg)]], "")</f>
        <v/>
      </c>
    </row>
    <row r="88" spans="5:6">
      <c r="E88" s="7">
        <f>IFERROR(Table5[[#This Row],[Circular Feedstock Mass (kg)]]*Table5[[#This Row],[Process Yield (%)]], " ")</f>
        <v>0</v>
      </c>
      <c r="F88" s="2" t="str">
        <f>IFERROR(Table5[[#This Row],[Net Circular Mass (kg)]]/Table5[[#This Row],[Total Output Mass (kg)]], "")</f>
        <v/>
      </c>
    </row>
    <row r="89" spans="5:6">
      <c r="E89" s="7">
        <f>IFERROR(Table5[[#This Row],[Circular Feedstock Mass (kg)]]*Table5[[#This Row],[Process Yield (%)]], " ")</f>
        <v>0</v>
      </c>
      <c r="F89" s="2" t="str">
        <f>IFERROR(Table5[[#This Row],[Net Circular Mass (kg)]]/Table5[[#This Row],[Total Output Mass (kg)]], "")</f>
        <v/>
      </c>
    </row>
    <row r="90" spans="5:6">
      <c r="E90" s="7">
        <f>IFERROR(Table5[[#This Row],[Circular Feedstock Mass (kg)]]*Table5[[#This Row],[Process Yield (%)]], " ")</f>
        <v>0</v>
      </c>
      <c r="F90" s="2" t="str">
        <f>IFERROR(Table5[[#This Row],[Net Circular Mass (kg)]]/Table5[[#This Row],[Total Output Mass (kg)]], "")</f>
        <v/>
      </c>
    </row>
    <row r="91" spans="5:6">
      <c r="E91" s="7">
        <f>IFERROR(Table5[[#This Row],[Circular Feedstock Mass (kg)]]*Table5[[#This Row],[Process Yield (%)]], " ")</f>
        <v>0</v>
      </c>
      <c r="F91" s="2" t="str">
        <f>IFERROR(Table5[[#This Row],[Net Circular Mass (kg)]]/Table5[[#This Row],[Total Output Mass (kg)]], "")</f>
        <v/>
      </c>
    </row>
    <row r="92" spans="5:6">
      <c r="E92" s="7">
        <f>IFERROR(Table5[[#This Row],[Circular Feedstock Mass (kg)]]*Table5[[#This Row],[Process Yield (%)]], " ")</f>
        <v>0</v>
      </c>
      <c r="F92" s="2" t="str">
        <f>IFERROR(Table5[[#This Row],[Net Circular Mass (kg)]]/Table5[[#This Row],[Total Output Mass (kg)]], "")</f>
        <v/>
      </c>
    </row>
    <row r="93" spans="5:6">
      <c r="E93" s="7">
        <f>IFERROR(Table5[[#This Row],[Circular Feedstock Mass (kg)]]*Table5[[#This Row],[Process Yield (%)]], " ")</f>
        <v>0</v>
      </c>
      <c r="F93" s="2" t="str">
        <f>IFERROR(Table5[[#This Row],[Net Circular Mass (kg)]]/Table5[[#This Row],[Total Output Mass (kg)]], "")</f>
        <v/>
      </c>
    </row>
    <row r="94" spans="5:6">
      <c r="E94" s="7">
        <f>IFERROR(Table5[[#This Row],[Circular Feedstock Mass (kg)]]*Table5[[#This Row],[Process Yield (%)]], " ")</f>
        <v>0</v>
      </c>
      <c r="F94" s="2" t="str">
        <f>IFERROR(Table5[[#This Row],[Net Circular Mass (kg)]]/Table5[[#This Row],[Total Output Mass (kg)]], "")</f>
        <v/>
      </c>
    </row>
    <row r="95" spans="5:6">
      <c r="E95" s="7">
        <f>IFERROR(Table5[[#This Row],[Circular Feedstock Mass (kg)]]*Table5[[#This Row],[Process Yield (%)]], " ")</f>
        <v>0</v>
      </c>
      <c r="F95" s="2" t="str">
        <f>IFERROR(Table5[[#This Row],[Net Circular Mass (kg)]]/Table5[[#This Row],[Total Output Mass (kg)]], "")</f>
        <v/>
      </c>
    </row>
    <row r="96" spans="5:6">
      <c r="E96" s="7">
        <f>IFERROR(Table5[[#This Row],[Circular Feedstock Mass (kg)]]*Table5[[#This Row],[Process Yield (%)]], " ")</f>
        <v>0</v>
      </c>
      <c r="F96" s="2" t="str">
        <f>IFERROR(Table5[[#This Row],[Net Circular Mass (kg)]]/Table5[[#This Row],[Total Output Mass (kg)]], "")</f>
        <v/>
      </c>
    </row>
    <row r="97" spans="5:6">
      <c r="E97" s="7">
        <f>IFERROR(Table5[[#This Row],[Circular Feedstock Mass (kg)]]*Table5[[#This Row],[Process Yield (%)]], " ")</f>
        <v>0</v>
      </c>
      <c r="F97" s="2" t="str">
        <f>IFERROR(Table5[[#This Row],[Net Circular Mass (kg)]]/Table5[[#This Row],[Total Output Mass (kg)]], "")</f>
        <v/>
      </c>
    </row>
    <row r="98" spans="5:6">
      <c r="E98" s="7">
        <f>IFERROR(Table5[[#This Row],[Circular Feedstock Mass (kg)]]*Table5[[#This Row],[Process Yield (%)]], " ")</f>
        <v>0</v>
      </c>
      <c r="F98" s="2" t="str">
        <f>IFERROR(Table5[[#This Row],[Net Circular Mass (kg)]]/Table5[[#This Row],[Total Output Mass (kg)]], "")</f>
        <v/>
      </c>
    </row>
    <row r="99" spans="5:6">
      <c r="E99" s="7">
        <f>IFERROR(Table5[[#This Row],[Circular Feedstock Mass (kg)]]*Table5[[#This Row],[Process Yield (%)]], " ")</f>
        <v>0</v>
      </c>
      <c r="F99" s="2" t="str">
        <f>IFERROR(Table5[[#This Row],[Net Circular Mass (kg)]]/Table5[[#This Row],[Total Output Mass (kg)]], "")</f>
        <v/>
      </c>
    </row>
    <row r="100" spans="5:6">
      <c r="E100" s="7">
        <f>IFERROR(Table5[[#This Row],[Circular Feedstock Mass (kg)]]*Table5[[#This Row],[Process Yield (%)]], " ")</f>
        <v>0</v>
      </c>
      <c r="F100" s="2" t="str">
        <f>IFERROR(Table5[[#This Row],[Net Circular Mass (kg)]]/Table5[[#This Row],[Total Output Mass (kg)]], "")</f>
        <v/>
      </c>
    </row>
    <row r="101" spans="5:6">
      <c r="E101" s="7">
        <f>IFERROR(Table5[[#This Row],[Circular Feedstock Mass (kg)]]*Table5[[#This Row],[Process Yield (%)]], " ")</f>
        <v>0</v>
      </c>
      <c r="F101" s="2" t="str">
        <f>IFERROR(Table5[[#This Row],[Net Circular Mass (kg)]]/Table5[[#This Row],[Total Output Mass (kg)]], "")</f>
        <v/>
      </c>
    </row>
    <row r="102" spans="5:6">
      <c r="E102" s="7">
        <f>IFERROR(Table5[[#This Row],[Circular Feedstock Mass (kg)]]*Table5[[#This Row],[Process Yield (%)]], " ")</f>
        <v>0</v>
      </c>
      <c r="F102" s="2" t="str">
        <f>IFERROR(Table5[[#This Row],[Net Circular Mass (kg)]]/Table5[[#This Row],[Total Output Mass (kg)]], "")</f>
        <v/>
      </c>
    </row>
    <row r="103" spans="5:6">
      <c r="E103" s="7">
        <f>IFERROR(Table5[[#This Row],[Circular Feedstock Mass (kg)]]*Table5[[#This Row],[Process Yield (%)]], " ")</f>
        <v>0</v>
      </c>
      <c r="F103" s="2" t="str">
        <f>IFERROR(Table5[[#This Row],[Net Circular Mass (kg)]]/Table5[[#This Row],[Total Output Mass (kg)]], "")</f>
        <v/>
      </c>
    </row>
    <row r="104" spans="5:6">
      <c r="E104" s="7">
        <f>IFERROR(Table5[[#This Row],[Circular Feedstock Mass (kg)]]*Table5[[#This Row],[Process Yield (%)]], " ")</f>
        <v>0</v>
      </c>
      <c r="F104" s="2" t="str">
        <f>IFERROR(Table5[[#This Row],[Net Circular Mass (kg)]]/Table5[[#This Row],[Total Output Mass (kg)]], "")</f>
        <v/>
      </c>
    </row>
    <row r="105" spans="5:6">
      <c r="E105" s="7">
        <f>IFERROR(Table5[[#This Row],[Circular Feedstock Mass (kg)]]*Table5[[#This Row],[Process Yield (%)]], " ")</f>
        <v>0</v>
      </c>
      <c r="F105" s="2" t="str">
        <f>IFERROR(Table5[[#This Row],[Net Circular Mass (kg)]]/Table5[[#This Row],[Total Output Mass (kg)]], "")</f>
        <v/>
      </c>
    </row>
    <row r="106" spans="5:6">
      <c r="E106" s="7">
        <f>IFERROR(Table5[[#This Row],[Circular Feedstock Mass (kg)]]*Table5[[#This Row],[Process Yield (%)]], " ")</f>
        <v>0</v>
      </c>
      <c r="F106" s="2" t="str">
        <f>IFERROR(Table5[[#This Row],[Net Circular Mass (kg)]]/Table5[[#This Row],[Total Output Mass (kg)]], "")</f>
        <v/>
      </c>
    </row>
    <row r="107" spans="5:6">
      <c r="E107" s="7">
        <f>IFERROR(Table5[[#This Row],[Circular Feedstock Mass (kg)]]*Table5[[#This Row],[Process Yield (%)]], " ")</f>
        <v>0</v>
      </c>
      <c r="F107" s="2" t="str">
        <f>IFERROR(Table5[[#This Row],[Net Circular Mass (kg)]]/Table5[[#This Row],[Total Output Mass (kg)]], "")</f>
        <v/>
      </c>
    </row>
    <row r="108" spans="5:6">
      <c r="E108" s="7">
        <f>IFERROR(Table5[[#This Row],[Circular Feedstock Mass (kg)]]*Table5[[#This Row],[Process Yield (%)]], " ")</f>
        <v>0</v>
      </c>
      <c r="F108" s="2" t="str">
        <f>IFERROR(Table5[[#This Row],[Net Circular Mass (kg)]]/Table5[[#This Row],[Total Output Mass (kg)]], "")</f>
        <v/>
      </c>
    </row>
    <row r="109" spans="5:6">
      <c r="E109" s="7">
        <f>IFERROR(Table5[[#This Row],[Circular Feedstock Mass (kg)]]*Table5[[#This Row],[Process Yield (%)]], " ")</f>
        <v>0</v>
      </c>
      <c r="F109" s="2" t="str">
        <f>IFERROR(Table5[[#This Row],[Net Circular Mass (kg)]]/Table5[[#This Row],[Total Output Mass (kg)]], "")</f>
        <v/>
      </c>
    </row>
    <row r="110" spans="5:6">
      <c r="E110" s="7">
        <f>IFERROR(Table5[[#This Row],[Circular Feedstock Mass (kg)]]*Table5[[#This Row],[Process Yield (%)]], " ")</f>
        <v>0</v>
      </c>
      <c r="F110" s="2" t="str">
        <f>IFERROR(Table5[[#This Row],[Net Circular Mass (kg)]]/Table5[[#This Row],[Total Output Mass (kg)]], "")</f>
        <v/>
      </c>
    </row>
    <row r="111" spans="5:6">
      <c r="E111" s="7">
        <f>IFERROR(Table5[[#This Row],[Circular Feedstock Mass (kg)]]*Table5[[#This Row],[Process Yield (%)]], " ")</f>
        <v>0</v>
      </c>
      <c r="F111" s="2" t="str">
        <f>IFERROR(Table5[[#This Row],[Net Circular Mass (kg)]]/Table5[[#This Row],[Total Output Mass (kg)]], "")</f>
        <v/>
      </c>
    </row>
    <row r="112" spans="5:6">
      <c r="E112" s="7">
        <f>IFERROR(Table5[[#This Row],[Circular Feedstock Mass (kg)]]*Table5[[#This Row],[Process Yield (%)]], " ")</f>
        <v>0</v>
      </c>
      <c r="F112" s="2" t="str">
        <f>IFERROR(Table5[[#This Row],[Net Circular Mass (kg)]]/Table5[[#This Row],[Total Output Mass (kg)]], "")</f>
        <v/>
      </c>
    </row>
    <row r="113" spans="5:6">
      <c r="E113" s="7">
        <f>IFERROR(Table5[[#This Row],[Circular Feedstock Mass (kg)]]*Table5[[#This Row],[Process Yield (%)]], " ")</f>
        <v>0</v>
      </c>
      <c r="F113" s="2" t="str">
        <f>IFERROR(Table5[[#This Row],[Net Circular Mass (kg)]]/Table5[[#This Row],[Total Output Mass (kg)]], "")</f>
        <v/>
      </c>
    </row>
    <row r="114" spans="5:6">
      <c r="E114" s="7">
        <f>IFERROR(Table5[[#This Row],[Circular Feedstock Mass (kg)]]*Table5[[#This Row],[Process Yield (%)]], " ")</f>
        <v>0</v>
      </c>
      <c r="F114" s="2" t="str">
        <f>IFERROR(Table5[[#This Row],[Net Circular Mass (kg)]]/Table5[[#This Row],[Total Output Mass (kg)]], "")</f>
        <v/>
      </c>
    </row>
    <row r="115" spans="5:6">
      <c r="E115" s="7">
        <f>IFERROR(Table5[[#This Row],[Circular Feedstock Mass (kg)]]*Table5[[#This Row],[Process Yield (%)]], " ")</f>
        <v>0</v>
      </c>
      <c r="F115" s="2" t="str">
        <f>IFERROR(Table5[[#This Row],[Net Circular Mass (kg)]]/Table5[[#This Row],[Total Output Mass (kg)]], "")</f>
        <v/>
      </c>
    </row>
    <row r="116" spans="5:6">
      <c r="E116" s="7">
        <f>IFERROR(Table5[[#This Row],[Circular Feedstock Mass (kg)]]*Table5[[#This Row],[Process Yield (%)]], " ")</f>
        <v>0</v>
      </c>
      <c r="F116" s="2" t="str">
        <f>IFERROR(Table5[[#This Row],[Net Circular Mass (kg)]]/Table5[[#This Row],[Total Output Mass (kg)]], "")</f>
        <v/>
      </c>
    </row>
    <row r="117" spans="5:6">
      <c r="E117" s="7">
        <f>IFERROR(Table5[[#This Row],[Circular Feedstock Mass (kg)]]*Table5[[#This Row],[Process Yield (%)]], " ")</f>
        <v>0</v>
      </c>
      <c r="F117" s="2" t="str">
        <f>IFERROR(Table5[[#This Row],[Net Circular Mass (kg)]]/Table5[[#This Row],[Total Output Mass (kg)]], "")</f>
        <v/>
      </c>
    </row>
    <row r="118" spans="5:6">
      <c r="E118" s="7">
        <f>IFERROR(Table5[[#This Row],[Circular Feedstock Mass (kg)]]*Table5[[#This Row],[Process Yield (%)]], " ")</f>
        <v>0</v>
      </c>
      <c r="F118" s="2" t="str">
        <f>IFERROR(Table5[[#This Row],[Net Circular Mass (kg)]]/Table5[[#This Row],[Total Output Mass (kg)]], "")</f>
        <v/>
      </c>
    </row>
    <row r="119" spans="5:6">
      <c r="E119" s="7">
        <f>IFERROR(Table5[[#This Row],[Circular Feedstock Mass (kg)]]*Table5[[#This Row],[Process Yield (%)]], " ")</f>
        <v>0</v>
      </c>
      <c r="F119" s="2" t="str">
        <f>IFERROR(Table5[[#This Row],[Net Circular Mass (kg)]]/Table5[[#This Row],[Total Output Mass (kg)]], "")</f>
        <v/>
      </c>
    </row>
    <row r="120" spans="5:6">
      <c r="E120" s="7">
        <f>IFERROR(Table5[[#This Row],[Circular Feedstock Mass (kg)]]*Table5[[#This Row],[Process Yield (%)]], " ")</f>
        <v>0</v>
      </c>
      <c r="F120" s="2" t="str">
        <f>IFERROR(Table5[[#This Row],[Net Circular Mass (kg)]]/Table5[[#This Row],[Total Output Mass (kg)]], "")</f>
        <v/>
      </c>
    </row>
    <row r="121" spans="5:6">
      <c r="E121" s="7">
        <f>IFERROR(Table5[[#This Row],[Circular Feedstock Mass (kg)]]*Table5[[#This Row],[Process Yield (%)]], " ")</f>
        <v>0</v>
      </c>
      <c r="F121" s="2" t="str">
        <f>IFERROR(Table5[[#This Row],[Net Circular Mass (kg)]]/Table5[[#This Row],[Total Output Mass (kg)]], "")</f>
        <v/>
      </c>
    </row>
    <row r="122" spans="5:6">
      <c r="E122" s="7">
        <f>IFERROR(Table5[[#This Row],[Circular Feedstock Mass (kg)]]*Table5[[#This Row],[Process Yield (%)]], " ")</f>
        <v>0</v>
      </c>
      <c r="F122" s="2" t="str">
        <f>IFERROR(Table5[[#This Row],[Net Circular Mass (kg)]]/Table5[[#This Row],[Total Output Mass (kg)]], "")</f>
        <v/>
      </c>
    </row>
    <row r="123" spans="5:6">
      <c r="E123" s="7">
        <f>IFERROR(Table5[[#This Row],[Circular Feedstock Mass (kg)]]*Table5[[#This Row],[Process Yield (%)]], " ")</f>
        <v>0</v>
      </c>
      <c r="F123" s="2" t="str">
        <f>IFERROR(Table5[[#This Row],[Net Circular Mass (kg)]]/Table5[[#This Row],[Total Output Mass (kg)]], "")</f>
        <v/>
      </c>
    </row>
    <row r="124" spans="5:6">
      <c r="E124" s="7">
        <f>IFERROR(Table5[[#This Row],[Circular Feedstock Mass (kg)]]*Table5[[#This Row],[Process Yield (%)]], " ")</f>
        <v>0</v>
      </c>
      <c r="F124" s="2" t="str">
        <f>IFERROR(Table5[[#This Row],[Net Circular Mass (kg)]]/Table5[[#This Row],[Total Output Mass (kg)]], "")</f>
        <v/>
      </c>
    </row>
    <row r="125" spans="5:6">
      <c r="E125" s="7">
        <f>IFERROR(Table5[[#This Row],[Circular Feedstock Mass (kg)]]*Table5[[#This Row],[Process Yield (%)]], " ")</f>
        <v>0</v>
      </c>
      <c r="F125" s="2" t="str">
        <f>IFERROR(Table5[[#This Row],[Net Circular Mass (kg)]]/Table5[[#This Row],[Total Output Mass (kg)]], "")</f>
        <v/>
      </c>
    </row>
    <row r="126" spans="5:6">
      <c r="E126" s="7">
        <f>IFERROR(Table5[[#This Row],[Circular Feedstock Mass (kg)]]*Table5[[#This Row],[Process Yield (%)]], " ")</f>
        <v>0</v>
      </c>
      <c r="F126" s="2" t="str">
        <f>IFERROR(Table5[[#This Row],[Net Circular Mass (kg)]]/Table5[[#This Row],[Total Output Mass (kg)]], "")</f>
        <v/>
      </c>
    </row>
    <row r="127" spans="5:6">
      <c r="E127" s="7">
        <f>IFERROR(Table5[[#This Row],[Circular Feedstock Mass (kg)]]*Table5[[#This Row],[Process Yield (%)]], " ")</f>
        <v>0</v>
      </c>
      <c r="F127" s="2" t="str">
        <f>IFERROR(Table5[[#This Row],[Net Circular Mass (kg)]]/Table5[[#This Row],[Total Output Mass (kg)]], "")</f>
        <v/>
      </c>
    </row>
    <row r="128" spans="5:6">
      <c r="E128" s="7">
        <f>IFERROR(Table5[[#This Row],[Circular Feedstock Mass (kg)]]*Table5[[#This Row],[Process Yield (%)]], " ")</f>
        <v>0</v>
      </c>
      <c r="F128" s="2" t="str">
        <f>IFERROR(Table5[[#This Row],[Net Circular Mass (kg)]]/Table5[[#This Row],[Total Output Mass (kg)]], "")</f>
        <v/>
      </c>
    </row>
    <row r="129" spans="5:6">
      <c r="E129" s="7">
        <f>IFERROR(Table5[[#This Row],[Circular Feedstock Mass (kg)]]*Table5[[#This Row],[Process Yield (%)]], " ")</f>
        <v>0</v>
      </c>
      <c r="F129" s="2" t="str">
        <f>IFERROR(Table5[[#This Row],[Net Circular Mass (kg)]]/Table5[[#This Row],[Total Output Mass (kg)]], "")</f>
        <v/>
      </c>
    </row>
    <row r="130" spans="5:6">
      <c r="E130" s="7">
        <f>IFERROR(Table5[[#This Row],[Circular Feedstock Mass (kg)]]*Table5[[#This Row],[Process Yield (%)]], " ")</f>
        <v>0</v>
      </c>
      <c r="F130" s="2" t="str">
        <f>IFERROR(Table5[[#This Row],[Net Circular Mass (kg)]]/Table5[[#This Row],[Total Output Mass (kg)]], "")</f>
        <v/>
      </c>
    </row>
    <row r="131" spans="5:6">
      <c r="E131" s="7">
        <f>IFERROR(Table5[[#This Row],[Circular Feedstock Mass (kg)]]*Table5[[#This Row],[Process Yield (%)]], " ")</f>
        <v>0</v>
      </c>
      <c r="F131" s="2" t="str">
        <f>IFERROR(Table5[[#This Row],[Net Circular Mass (kg)]]/Table5[[#This Row],[Total Output Mass (kg)]], "")</f>
        <v/>
      </c>
    </row>
    <row r="132" spans="5:6">
      <c r="E132" s="7">
        <f>IFERROR(Table5[[#This Row],[Circular Feedstock Mass (kg)]]*Table5[[#This Row],[Process Yield (%)]], " ")</f>
        <v>0</v>
      </c>
      <c r="F132" s="2" t="str">
        <f>IFERROR(Table5[[#This Row],[Net Circular Mass (kg)]]/Table5[[#This Row],[Total Output Mass (kg)]], "")</f>
        <v/>
      </c>
    </row>
    <row r="133" spans="5:6">
      <c r="E133" s="7">
        <f>IFERROR(Table5[[#This Row],[Circular Feedstock Mass (kg)]]*Table5[[#This Row],[Process Yield (%)]], " ")</f>
        <v>0</v>
      </c>
      <c r="F133" s="2" t="str">
        <f>IFERROR(Table5[[#This Row],[Net Circular Mass (kg)]]/Table5[[#This Row],[Total Output Mass (kg)]], "")</f>
        <v/>
      </c>
    </row>
    <row r="134" spans="5:6">
      <c r="E134" s="7">
        <f>IFERROR(Table5[[#This Row],[Circular Feedstock Mass (kg)]]*Table5[[#This Row],[Process Yield (%)]], " ")</f>
        <v>0</v>
      </c>
      <c r="F134" s="2" t="str">
        <f>IFERROR(Table5[[#This Row],[Net Circular Mass (kg)]]/Table5[[#This Row],[Total Output Mass (kg)]], "")</f>
        <v/>
      </c>
    </row>
    <row r="135" spans="5:6">
      <c r="E135" s="7">
        <f>IFERROR(Table5[[#This Row],[Circular Feedstock Mass (kg)]]*Table5[[#This Row],[Process Yield (%)]], " ")</f>
        <v>0</v>
      </c>
      <c r="F135" s="2" t="str">
        <f>IFERROR(Table5[[#This Row],[Net Circular Mass (kg)]]/Table5[[#This Row],[Total Output Mass (kg)]], "")</f>
        <v/>
      </c>
    </row>
    <row r="136" spans="5:6">
      <c r="E136" s="7">
        <f>IFERROR(Table5[[#This Row],[Circular Feedstock Mass (kg)]]*Table5[[#This Row],[Process Yield (%)]], " ")</f>
        <v>0</v>
      </c>
      <c r="F136" s="2" t="str">
        <f>IFERROR(Table5[[#This Row],[Net Circular Mass (kg)]]/Table5[[#This Row],[Total Output Mass (kg)]], "")</f>
        <v/>
      </c>
    </row>
    <row r="137" spans="5:6">
      <c r="E137" s="7">
        <f>IFERROR(Table5[[#This Row],[Circular Feedstock Mass (kg)]]*Table5[[#This Row],[Process Yield (%)]], " ")</f>
        <v>0</v>
      </c>
      <c r="F137" s="2" t="str">
        <f>IFERROR(Table5[[#This Row],[Net Circular Mass (kg)]]/Table5[[#This Row],[Total Output Mass (kg)]], "")</f>
        <v/>
      </c>
    </row>
    <row r="138" spans="5:6">
      <c r="E138" s="7">
        <f>IFERROR(Table5[[#This Row],[Circular Feedstock Mass (kg)]]*Table5[[#This Row],[Process Yield (%)]], " ")</f>
        <v>0</v>
      </c>
      <c r="F138" s="2" t="str">
        <f>IFERROR(Table5[[#This Row],[Net Circular Mass (kg)]]/Table5[[#This Row],[Total Output Mass (kg)]], "")</f>
        <v/>
      </c>
    </row>
    <row r="139" spans="5:6">
      <c r="E139" s="7">
        <f>IFERROR(Table5[[#This Row],[Circular Feedstock Mass (kg)]]*Table5[[#This Row],[Process Yield (%)]], " ")</f>
        <v>0</v>
      </c>
      <c r="F139" s="2" t="str">
        <f>IFERROR(Table5[[#This Row],[Net Circular Mass (kg)]]/Table5[[#This Row],[Total Output Mass (kg)]], "")</f>
        <v/>
      </c>
    </row>
    <row r="140" spans="5:6">
      <c r="E140" s="7">
        <f>IFERROR(Table5[[#This Row],[Circular Feedstock Mass (kg)]]*Table5[[#This Row],[Process Yield (%)]], " ")</f>
        <v>0</v>
      </c>
      <c r="F140" s="2" t="str">
        <f>IFERROR(Table5[[#This Row],[Net Circular Mass (kg)]]/Table5[[#This Row],[Total Output Mass (kg)]], "")</f>
        <v/>
      </c>
    </row>
    <row r="141" spans="5:6">
      <c r="E141" s="7">
        <f>IFERROR(Table5[[#This Row],[Circular Feedstock Mass (kg)]]*Table5[[#This Row],[Process Yield (%)]], " ")</f>
        <v>0</v>
      </c>
      <c r="F141" s="2" t="str">
        <f>IFERROR(Table5[[#This Row],[Net Circular Mass (kg)]]/Table5[[#This Row],[Total Output Mass (kg)]], "")</f>
        <v/>
      </c>
    </row>
    <row r="142" spans="5:6">
      <c r="E142" s="7">
        <f>IFERROR(Table5[[#This Row],[Circular Feedstock Mass (kg)]]*Table5[[#This Row],[Process Yield (%)]], " ")</f>
        <v>0</v>
      </c>
      <c r="F142" s="2" t="str">
        <f>IFERROR(Table5[[#This Row],[Net Circular Mass (kg)]]/Table5[[#This Row],[Total Output Mass (kg)]], "")</f>
        <v/>
      </c>
    </row>
    <row r="143" spans="5:6">
      <c r="E143" s="7">
        <f>IFERROR(Table5[[#This Row],[Circular Feedstock Mass (kg)]]*Table5[[#This Row],[Process Yield (%)]], " ")</f>
        <v>0</v>
      </c>
      <c r="F143" s="2" t="str">
        <f>IFERROR(Table5[[#This Row],[Net Circular Mass (kg)]]/Table5[[#This Row],[Total Output Mass (kg)]], "")</f>
        <v/>
      </c>
    </row>
    <row r="144" spans="5:6">
      <c r="E144" s="7">
        <f>IFERROR(Table5[[#This Row],[Circular Feedstock Mass (kg)]]*Table5[[#This Row],[Process Yield (%)]], " ")</f>
        <v>0</v>
      </c>
      <c r="F144" s="2" t="str">
        <f>IFERROR(Table5[[#This Row],[Net Circular Mass (kg)]]/Table5[[#This Row],[Total Output Mass (kg)]], "")</f>
        <v/>
      </c>
    </row>
    <row r="145" spans="5:6">
      <c r="E145" s="7">
        <f>IFERROR(Table5[[#This Row],[Circular Feedstock Mass (kg)]]*Table5[[#This Row],[Process Yield (%)]], " ")</f>
        <v>0</v>
      </c>
      <c r="F145" s="2" t="str">
        <f>IFERROR(Table5[[#This Row],[Net Circular Mass (kg)]]/Table5[[#This Row],[Total Output Mass (kg)]], "")</f>
        <v/>
      </c>
    </row>
    <row r="146" spans="5:6">
      <c r="E146" s="7">
        <f>IFERROR(Table5[[#This Row],[Circular Feedstock Mass (kg)]]*Table5[[#This Row],[Process Yield (%)]], " ")</f>
        <v>0</v>
      </c>
      <c r="F146" s="2" t="str">
        <f>IFERROR(Table5[[#This Row],[Net Circular Mass (kg)]]/Table5[[#This Row],[Total Output Mass (kg)]], "")</f>
        <v/>
      </c>
    </row>
    <row r="147" spans="5:6">
      <c r="E147" s="7">
        <f>IFERROR(Table5[[#This Row],[Circular Feedstock Mass (kg)]]*Table5[[#This Row],[Process Yield (%)]], " ")</f>
        <v>0</v>
      </c>
      <c r="F147" s="2" t="str">
        <f>IFERROR(Table5[[#This Row],[Net Circular Mass (kg)]]/Table5[[#This Row],[Total Output Mass (kg)]], "")</f>
        <v/>
      </c>
    </row>
    <row r="148" spans="5:6">
      <c r="E148" s="7">
        <f>IFERROR(Table5[[#This Row],[Circular Feedstock Mass (kg)]]*Table5[[#This Row],[Process Yield (%)]], " ")</f>
        <v>0</v>
      </c>
      <c r="F148" s="2" t="str">
        <f>IFERROR(Table5[[#This Row],[Net Circular Mass (kg)]]/Table5[[#This Row],[Total Output Mass (kg)]], "")</f>
        <v/>
      </c>
    </row>
    <row r="149" spans="5:6">
      <c r="E149" s="7">
        <f>IFERROR(Table5[[#This Row],[Circular Feedstock Mass (kg)]]*Table5[[#This Row],[Process Yield (%)]], " ")</f>
        <v>0</v>
      </c>
      <c r="F149" s="2" t="str">
        <f>IFERROR(Table5[[#This Row],[Net Circular Mass (kg)]]/Table5[[#This Row],[Total Output Mass (kg)]], "")</f>
        <v/>
      </c>
    </row>
    <row r="150" spans="5:6">
      <c r="E150" s="7">
        <f>IFERROR(Table5[[#This Row],[Circular Feedstock Mass (kg)]]*Table5[[#This Row],[Process Yield (%)]], " ")</f>
        <v>0</v>
      </c>
      <c r="F150" s="2" t="str">
        <f>IFERROR(Table5[[#This Row],[Net Circular Mass (kg)]]/Table5[[#This Row],[Total Output Mass (kg)]], "")</f>
        <v/>
      </c>
    </row>
    <row r="151" spans="5:6">
      <c r="E151" s="7">
        <f>IFERROR(Table5[[#This Row],[Circular Feedstock Mass (kg)]]*Table5[[#This Row],[Process Yield (%)]], " ")</f>
        <v>0</v>
      </c>
      <c r="F151" s="2" t="str">
        <f>IFERROR(Table5[[#This Row],[Net Circular Mass (kg)]]/Table5[[#This Row],[Total Output Mass (kg)]], "")</f>
        <v/>
      </c>
    </row>
    <row r="152" spans="5:6">
      <c r="E152" s="7">
        <f>IFERROR(Table5[[#This Row],[Circular Feedstock Mass (kg)]]*Table5[[#This Row],[Process Yield (%)]], " ")</f>
        <v>0</v>
      </c>
      <c r="F152" s="2" t="str">
        <f>IFERROR(Table5[[#This Row],[Net Circular Mass (kg)]]/Table5[[#This Row],[Total Output Mass (kg)]], "")</f>
        <v/>
      </c>
    </row>
    <row r="153" spans="5:6">
      <c r="E153" s="7">
        <f>IFERROR(Table5[[#This Row],[Circular Feedstock Mass (kg)]]*Table5[[#This Row],[Process Yield (%)]], " ")</f>
        <v>0</v>
      </c>
      <c r="F153" s="2" t="str">
        <f>IFERROR(Table5[[#This Row],[Net Circular Mass (kg)]]/Table5[[#This Row],[Total Output Mass (kg)]], "")</f>
        <v/>
      </c>
    </row>
    <row r="154" spans="5:6">
      <c r="E154" s="7">
        <f>IFERROR(Table5[[#This Row],[Circular Feedstock Mass (kg)]]*Table5[[#This Row],[Process Yield (%)]], " ")</f>
        <v>0</v>
      </c>
      <c r="F154" s="2" t="str">
        <f>IFERROR(Table5[[#This Row],[Net Circular Mass (kg)]]/Table5[[#This Row],[Total Output Mass (kg)]], "")</f>
        <v/>
      </c>
    </row>
    <row r="155" spans="5:6">
      <c r="E155" s="7">
        <f>IFERROR(Table5[[#This Row],[Circular Feedstock Mass (kg)]]*Table5[[#This Row],[Process Yield (%)]], " ")</f>
        <v>0</v>
      </c>
      <c r="F155" s="2" t="str">
        <f>IFERROR(Table5[[#This Row],[Net Circular Mass (kg)]]/Table5[[#This Row],[Total Output Mass (kg)]], "")</f>
        <v/>
      </c>
    </row>
    <row r="156" spans="5:6">
      <c r="E156" s="7">
        <f>IFERROR(Table5[[#This Row],[Circular Feedstock Mass (kg)]]*Table5[[#This Row],[Process Yield (%)]], " ")</f>
        <v>0</v>
      </c>
      <c r="F156" s="2" t="str">
        <f>IFERROR(Table5[[#This Row],[Net Circular Mass (kg)]]/Table5[[#This Row],[Total Output Mass (kg)]], "")</f>
        <v/>
      </c>
    </row>
    <row r="157" spans="5:6">
      <c r="E157" s="7">
        <f>IFERROR(Table5[[#This Row],[Circular Feedstock Mass (kg)]]*Table5[[#This Row],[Process Yield (%)]], " ")</f>
        <v>0</v>
      </c>
      <c r="F157" s="2" t="str">
        <f>IFERROR(Table5[[#This Row],[Net Circular Mass (kg)]]/Table5[[#This Row],[Total Output Mass (kg)]], "")</f>
        <v/>
      </c>
    </row>
    <row r="158" spans="5:6">
      <c r="E158" s="7">
        <f>IFERROR(Table5[[#This Row],[Circular Feedstock Mass (kg)]]*Table5[[#This Row],[Process Yield (%)]], " ")</f>
        <v>0</v>
      </c>
      <c r="F158" s="2" t="str">
        <f>IFERROR(Table5[[#This Row],[Net Circular Mass (kg)]]/Table5[[#This Row],[Total Output Mass (kg)]], "")</f>
        <v/>
      </c>
    </row>
    <row r="159" spans="5:6">
      <c r="E159" s="7">
        <f>IFERROR(Table5[[#This Row],[Circular Feedstock Mass (kg)]]*Table5[[#This Row],[Process Yield (%)]], " ")</f>
        <v>0</v>
      </c>
      <c r="F159" s="2" t="str">
        <f>IFERROR(Table5[[#This Row],[Net Circular Mass (kg)]]/Table5[[#This Row],[Total Output Mass (kg)]], "")</f>
        <v/>
      </c>
    </row>
    <row r="160" spans="5:6">
      <c r="E160" s="7">
        <f>IFERROR(Table5[[#This Row],[Circular Feedstock Mass (kg)]]*Table5[[#This Row],[Process Yield (%)]], " ")</f>
        <v>0</v>
      </c>
      <c r="F160" s="2" t="str">
        <f>IFERROR(Table5[[#This Row],[Net Circular Mass (kg)]]/Table5[[#This Row],[Total Output Mass (kg)]], "")</f>
        <v/>
      </c>
    </row>
    <row r="161" spans="5:6">
      <c r="E161" s="7">
        <f>IFERROR(Table5[[#This Row],[Circular Feedstock Mass (kg)]]*Table5[[#This Row],[Process Yield (%)]], " ")</f>
        <v>0</v>
      </c>
      <c r="F161" s="2" t="str">
        <f>IFERROR(Table5[[#This Row],[Net Circular Mass (kg)]]/Table5[[#This Row],[Total Output Mass (kg)]], "")</f>
        <v/>
      </c>
    </row>
    <row r="162" spans="5:6">
      <c r="E162" s="7">
        <f>IFERROR(Table5[[#This Row],[Circular Feedstock Mass (kg)]]*Table5[[#This Row],[Process Yield (%)]], " ")</f>
        <v>0</v>
      </c>
      <c r="F162" s="2" t="str">
        <f>IFERROR(Table5[[#This Row],[Net Circular Mass (kg)]]/Table5[[#This Row],[Total Output Mass (kg)]], "")</f>
        <v/>
      </c>
    </row>
    <row r="163" spans="5:6">
      <c r="E163" s="7">
        <f>IFERROR(Table5[[#This Row],[Circular Feedstock Mass (kg)]]*Table5[[#This Row],[Process Yield (%)]], " ")</f>
        <v>0</v>
      </c>
      <c r="F163" s="2" t="str">
        <f>IFERROR(Table5[[#This Row],[Net Circular Mass (kg)]]/Table5[[#This Row],[Total Output Mass (kg)]], "")</f>
        <v/>
      </c>
    </row>
    <row r="164" spans="5:6">
      <c r="E164" s="7">
        <f>IFERROR(Table5[[#This Row],[Circular Feedstock Mass (kg)]]*Table5[[#This Row],[Process Yield (%)]], " ")</f>
        <v>0</v>
      </c>
      <c r="F164" s="2" t="str">
        <f>IFERROR(Table5[[#This Row],[Net Circular Mass (kg)]]/Table5[[#This Row],[Total Output Mass (kg)]], "")</f>
        <v/>
      </c>
    </row>
    <row r="165" spans="5:6">
      <c r="E165" s="7">
        <f>IFERROR(Table5[[#This Row],[Circular Feedstock Mass (kg)]]*Table5[[#This Row],[Process Yield (%)]], " ")</f>
        <v>0</v>
      </c>
      <c r="F165" s="2" t="str">
        <f>IFERROR(Table5[[#This Row],[Net Circular Mass (kg)]]/Table5[[#This Row],[Total Output Mass (kg)]], "")</f>
        <v/>
      </c>
    </row>
    <row r="166" spans="5:6">
      <c r="E166" s="7">
        <f>IFERROR(Table5[[#This Row],[Circular Feedstock Mass (kg)]]*Table5[[#This Row],[Process Yield (%)]], " ")</f>
        <v>0</v>
      </c>
      <c r="F166" s="2" t="str">
        <f>IFERROR(Table5[[#This Row],[Net Circular Mass (kg)]]/Table5[[#This Row],[Total Output Mass (kg)]], "")</f>
        <v/>
      </c>
    </row>
    <row r="167" spans="5:6">
      <c r="E167" s="7">
        <f>IFERROR(Table5[[#This Row],[Circular Feedstock Mass (kg)]]*Table5[[#This Row],[Process Yield (%)]], " ")</f>
        <v>0</v>
      </c>
      <c r="F167" s="2" t="str">
        <f>IFERROR(Table5[[#This Row],[Net Circular Mass (kg)]]/Table5[[#This Row],[Total Output Mass (kg)]], "")</f>
        <v/>
      </c>
    </row>
    <row r="168" spans="5:6">
      <c r="E168" s="7">
        <f>IFERROR(Table5[[#This Row],[Circular Feedstock Mass (kg)]]*Table5[[#This Row],[Process Yield (%)]], " ")</f>
        <v>0</v>
      </c>
      <c r="F168" s="2" t="str">
        <f>IFERROR(Table5[[#This Row],[Net Circular Mass (kg)]]/Table5[[#This Row],[Total Output Mass (kg)]], "")</f>
        <v/>
      </c>
    </row>
    <row r="169" spans="5:6">
      <c r="E169" s="7">
        <f>IFERROR(Table5[[#This Row],[Circular Feedstock Mass (kg)]]*Table5[[#This Row],[Process Yield (%)]], " ")</f>
        <v>0</v>
      </c>
      <c r="F169" s="2" t="str">
        <f>IFERROR(Table5[[#This Row],[Net Circular Mass (kg)]]/Table5[[#This Row],[Total Output Mass (kg)]], "")</f>
        <v/>
      </c>
    </row>
    <row r="170" spans="5:6">
      <c r="E170" s="7">
        <f>IFERROR(Table5[[#This Row],[Circular Feedstock Mass (kg)]]*Table5[[#This Row],[Process Yield (%)]], " ")</f>
        <v>0</v>
      </c>
      <c r="F170" s="2" t="str">
        <f>IFERROR(Table5[[#This Row],[Net Circular Mass (kg)]]/Table5[[#This Row],[Total Output Mass (kg)]], "")</f>
        <v/>
      </c>
    </row>
    <row r="171" spans="5:6">
      <c r="E171" s="7">
        <f>IFERROR(Table5[[#This Row],[Circular Feedstock Mass (kg)]]*Table5[[#This Row],[Process Yield (%)]], " ")</f>
        <v>0</v>
      </c>
      <c r="F171" s="2" t="str">
        <f>IFERROR(Table5[[#This Row],[Net Circular Mass (kg)]]/Table5[[#This Row],[Total Output Mass (kg)]], "")</f>
        <v/>
      </c>
    </row>
    <row r="172" spans="5:6">
      <c r="E172" s="7">
        <f>IFERROR(Table5[[#This Row],[Circular Feedstock Mass (kg)]]*Table5[[#This Row],[Process Yield (%)]], " ")</f>
        <v>0</v>
      </c>
      <c r="F172" s="2" t="str">
        <f>IFERROR(Table5[[#This Row],[Net Circular Mass (kg)]]/Table5[[#This Row],[Total Output Mass (kg)]], "")</f>
        <v/>
      </c>
    </row>
    <row r="173" spans="5:6">
      <c r="E173" s="7">
        <f>IFERROR(Table5[[#This Row],[Circular Feedstock Mass (kg)]]*Table5[[#This Row],[Process Yield (%)]], " ")</f>
        <v>0</v>
      </c>
      <c r="F173" s="2" t="str">
        <f>IFERROR(Table5[[#This Row],[Net Circular Mass (kg)]]/Table5[[#This Row],[Total Output Mass (kg)]], "")</f>
        <v/>
      </c>
    </row>
    <row r="174" spans="5:6">
      <c r="E174" s="7">
        <f>IFERROR(Table5[[#This Row],[Circular Feedstock Mass (kg)]]*Table5[[#This Row],[Process Yield (%)]], " ")</f>
        <v>0</v>
      </c>
      <c r="F174" s="2" t="str">
        <f>IFERROR(Table5[[#This Row],[Net Circular Mass (kg)]]/Table5[[#This Row],[Total Output Mass (kg)]], "")</f>
        <v/>
      </c>
    </row>
    <row r="175" spans="5:6">
      <c r="E175" s="7">
        <f>IFERROR(Table5[[#This Row],[Circular Feedstock Mass (kg)]]*Table5[[#This Row],[Process Yield (%)]], " ")</f>
        <v>0</v>
      </c>
      <c r="F175" s="2" t="str">
        <f>IFERROR(Table5[[#This Row],[Net Circular Mass (kg)]]/Table5[[#This Row],[Total Output Mass (kg)]], "")</f>
        <v/>
      </c>
    </row>
    <row r="176" spans="5:6">
      <c r="E176" s="7">
        <f>IFERROR(Table5[[#This Row],[Circular Feedstock Mass (kg)]]*Table5[[#This Row],[Process Yield (%)]], " ")</f>
        <v>0</v>
      </c>
      <c r="F176" s="2" t="str">
        <f>IFERROR(Table5[[#This Row],[Net Circular Mass (kg)]]/Table5[[#This Row],[Total Output Mass (kg)]], "")</f>
        <v/>
      </c>
    </row>
    <row r="177" spans="5:6">
      <c r="E177" s="7">
        <f>IFERROR(Table5[[#This Row],[Circular Feedstock Mass (kg)]]*Table5[[#This Row],[Process Yield (%)]], " ")</f>
        <v>0</v>
      </c>
      <c r="F177" s="2" t="str">
        <f>IFERROR(Table5[[#This Row],[Net Circular Mass (kg)]]/Table5[[#This Row],[Total Output Mass (kg)]], "")</f>
        <v/>
      </c>
    </row>
    <row r="178" spans="5:6">
      <c r="E178" s="7">
        <f>IFERROR(Table5[[#This Row],[Circular Feedstock Mass (kg)]]*Table5[[#This Row],[Process Yield (%)]], " ")</f>
        <v>0</v>
      </c>
      <c r="F178" s="2" t="str">
        <f>IFERROR(Table5[[#This Row],[Net Circular Mass (kg)]]/Table5[[#This Row],[Total Output Mass (kg)]], "")</f>
        <v/>
      </c>
    </row>
    <row r="179" spans="5:6">
      <c r="E179" s="7">
        <f>IFERROR(Table5[[#This Row],[Circular Feedstock Mass (kg)]]*Table5[[#This Row],[Process Yield (%)]], " ")</f>
        <v>0</v>
      </c>
      <c r="F179" s="2" t="str">
        <f>IFERROR(Table5[[#This Row],[Net Circular Mass (kg)]]/Table5[[#This Row],[Total Output Mass (kg)]], "")</f>
        <v/>
      </c>
    </row>
    <row r="180" spans="5:6">
      <c r="E180" s="7">
        <f>IFERROR(Table5[[#This Row],[Circular Feedstock Mass (kg)]]*Table5[[#This Row],[Process Yield (%)]], " ")</f>
        <v>0</v>
      </c>
      <c r="F180" s="2" t="str">
        <f>IFERROR(Table5[[#This Row],[Net Circular Mass (kg)]]/Table5[[#This Row],[Total Output Mass (kg)]], "")</f>
        <v/>
      </c>
    </row>
    <row r="181" spans="5:6">
      <c r="E181" s="7">
        <f>IFERROR(Table5[[#This Row],[Circular Feedstock Mass (kg)]]*Table5[[#This Row],[Process Yield (%)]], " ")</f>
        <v>0</v>
      </c>
      <c r="F181" s="2" t="str">
        <f>IFERROR(Table5[[#This Row],[Net Circular Mass (kg)]]/Table5[[#This Row],[Total Output Mass (kg)]], "")</f>
        <v/>
      </c>
    </row>
    <row r="182" spans="5:6">
      <c r="E182" s="7">
        <f>IFERROR(Table5[[#This Row],[Circular Feedstock Mass (kg)]]*Table5[[#This Row],[Process Yield (%)]], " ")</f>
        <v>0</v>
      </c>
      <c r="F182" s="2" t="str">
        <f>IFERROR(Table5[[#This Row],[Net Circular Mass (kg)]]/Table5[[#This Row],[Total Output Mass (kg)]], "")</f>
        <v/>
      </c>
    </row>
    <row r="183" spans="5:6">
      <c r="E183" s="7">
        <f>IFERROR(Table5[[#This Row],[Circular Feedstock Mass (kg)]]*Table5[[#This Row],[Process Yield (%)]], " ")</f>
        <v>0</v>
      </c>
      <c r="F183" s="2" t="str">
        <f>IFERROR(Table5[[#This Row],[Net Circular Mass (kg)]]/Table5[[#This Row],[Total Output Mass (kg)]], "")</f>
        <v/>
      </c>
    </row>
    <row r="184" spans="5:6">
      <c r="E184" s="7">
        <f>IFERROR(Table5[[#This Row],[Circular Feedstock Mass (kg)]]*Table5[[#This Row],[Process Yield (%)]], " ")</f>
        <v>0</v>
      </c>
      <c r="F184" s="2" t="str">
        <f>IFERROR(Table5[[#This Row],[Net Circular Mass (kg)]]/Table5[[#This Row],[Total Output Mass (kg)]], "")</f>
        <v/>
      </c>
    </row>
    <row r="185" spans="5:6">
      <c r="E185" s="7">
        <f>IFERROR(Table5[[#This Row],[Circular Feedstock Mass (kg)]]*Table5[[#This Row],[Process Yield (%)]], " ")</f>
        <v>0</v>
      </c>
      <c r="F185" s="2" t="str">
        <f>IFERROR(Table5[[#This Row],[Net Circular Mass (kg)]]/Table5[[#This Row],[Total Output Mass (kg)]], "")</f>
        <v/>
      </c>
    </row>
    <row r="186" spans="5:6">
      <c r="E186" s="7">
        <f>IFERROR(Table5[[#This Row],[Circular Feedstock Mass (kg)]]*Table5[[#This Row],[Process Yield (%)]], " ")</f>
        <v>0</v>
      </c>
      <c r="F186" s="2" t="str">
        <f>IFERROR(Table5[[#This Row],[Net Circular Mass (kg)]]/Table5[[#This Row],[Total Output Mass (kg)]], "")</f>
        <v/>
      </c>
    </row>
    <row r="187" spans="5:6">
      <c r="E187" s="7">
        <f>IFERROR(Table5[[#This Row],[Circular Feedstock Mass (kg)]]*Table5[[#This Row],[Process Yield (%)]], " ")</f>
        <v>0</v>
      </c>
      <c r="F187" s="2" t="str">
        <f>IFERROR(Table5[[#This Row],[Net Circular Mass (kg)]]/Table5[[#This Row],[Total Output Mass (kg)]], "")</f>
        <v/>
      </c>
    </row>
    <row r="188" spans="5:6">
      <c r="E188" s="7">
        <f>IFERROR(Table5[[#This Row],[Circular Feedstock Mass (kg)]]*Table5[[#This Row],[Process Yield (%)]], " ")</f>
        <v>0</v>
      </c>
      <c r="F188" s="2" t="str">
        <f>IFERROR(Table5[[#This Row],[Net Circular Mass (kg)]]/Table5[[#This Row],[Total Output Mass (kg)]], "")</f>
        <v/>
      </c>
    </row>
    <row r="189" spans="5:6">
      <c r="E189" s="7">
        <f>IFERROR(Table5[[#This Row],[Circular Feedstock Mass (kg)]]*Table5[[#This Row],[Process Yield (%)]], " ")</f>
        <v>0</v>
      </c>
      <c r="F189" s="2" t="str">
        <f>IFERROR(Table5[[#This Row],[Net Circular Mass (kg)]]/Table5[[#This Row],[Total Output Mass (kg)]], "")</f>
        <v/>
      </c>
    </row>
    <row r="190" spans="5:6">
      <c r="E190" s="7">
        <f>IFERROR(Table5[[#This Row],[Circular Feedstock Mass (kg)]]*Table5[[#This Row],[Process Yield (%)]], " ")</f>
        <v>0</v>
      </c>
      <c r="F190" s="2" t="str">
        <f>IFERROR(Table5[[#This Row],[Net Circular Mass (kg)]]/Table5[[#This Row],[Total Output Mass (kg)]], "")</f>
        <v/>
      </c>
    </row>
    <row r="191" spans="5:6">
      <c r="E191" s="7">
        <f>IFERROR(Table5[[#This Row],[Circular Feedstock Mass (kg)]]*Table5[[#This Row],[Process Yield (%)]], " ")</f>
        <v>0</v>
      </c>
      <c r="F191" s="2" t="str">
        <f>IFERROR(Table5[[#This Row],[Net Circular Mass (kg)]]/Table5[[#This Row],[Total Output Mass (kg)]], "")</f>
        <v/>
      </c>
    </row>
    <row r="192" spans="5:6">
      <c r="E192" s="7">
        <f>IFERROR(Table5[[#This Row],[Circular Feedstock Mass (kg)]]*Table5[[#This Row],[Process Yield (%)]], " ")</f>
        <v>0</v>
      </c>
      <c r="F192" s="2" t="str">
        <f>IFERROR(Table5[[#This Row],[Net Circular Mass (kg)]]/Table5[[#This Row],[Total Output Mass (kg)]], "")</f>
        <v/>
      </c>
    </row>
    <row r="193" spans="5:6">
      <c r="E193" s="7">
        <f>IFERROR(Table5[[#This Row],[Circular Feedstock Mass (kg)]]*Table5[[#This Row],[Process Yield (%)]], " ")</f>
        <v>0</v>
      </c>
      <c r="F193" s="2" t="str">
        <f>IFERROR(Table5[[#This Row],[Net Circular Mass (kg)]]/Table5[[#This Row],[Total Output Mass (kg)]], "")</f>
        <v/>
      </c>
    </row>
    <row r="194" spans="5:6">
      <c r="E194" s="7">
        <f>IFERROR(Table5[[#This Row],[Circular Feedstock Mass (kg)]]*Table5[[#This Row],[Process Yield (%)]], " ")</f>
        <v>0</v>
      </c>
      <c r="F194" s="2" t="str">
        <f>IFERROR(Table5[[#This Row],[Net Circular Mass (kg)]]/Table5[[#This Row],[Total Output Mass (kg)]], "")</f>
        <v/>
      </c>
    </row>
    <row r="195" spans="5:6">
      <c r="E195" s="7">
        <f>IFERROR(Table5[[#This Row],[Circular Feedstock Mass (kg)]]*Table5[[#This Row],[Process Yield (%)]], " ")</f>
        <v>0</v>
      </c>
      <c r="F195" s="2" t="str">
        <f>IFERROR(Table5[[#This Row],[Net Circular Mass (kg)]]/Table5[[#This Row],[Total Output Mass (kg)]], "")</f>
        <v/>
      </c>
    </row>
    <row r="196" spans="5:6">
      <c r="E196" s="7">
        <f>IFERROR(Table5[[#This Row],[Circular Feedstock Mass (kg)]]*Table5[[#This Row],[Process Yield (%)]], " ")</f>
        <v>0</v>
      </c>
      <c r="F196" s="2" t="str">
        <f>IFERROR(Table5[[#This Row],[Net Circular Mass (kg)]]/Table5[[#This Row],[Total Output Mass (kg)]], "")</f>
        <v/>
      </c>
    </row>
    <row r="197" spans="5:6">
      <c r="E197" s="7">
        <f>IFERROR(Table5[[#This Row],[Circular Feedstock Mass (kg)]]*Table5[[#This Row],[Process Yield (%)]], " ")</f>
        <v>0</v>
      </c>
      <c r="F197" s="2" t="str">
        <f>IFERROR(Table5[[#This Row],[Net Circular Mass (kg)]]/Table5[[#This Row],[Total Output Mass (kg)]], "")</f>
        <v/>
      </c>
    </row>
    <row r="198" spans="5:6">
      <c r="E198" s="7">
        <f>IFERROR(Table5[[#This Row],[Circular Feedstock Mass (kg)]]*Table5[[#This Row],[Process Yield (%)]], " ")</f>
        <v>0</v>
      </c>
      <c r="F198" s="2" t="str">
        <f>IFERROR(Table5[[#This Row],[Net Circular Mass (kg)]]/Table5[[#This Row],[Total Output Mass (kg)]], "")</f>
        <v/>
      </c>
    </row>
    <row r="199" spans="5:6">
      <c r="E199" s="7">
        <f>IFERROR(Table5[[#This Row],[Circular Feedstock Mass (kg)]]*Table5[[#This Row],[Process Yield (%)]], " ")</f>
        <v>0</v>
      </c>
      <c r="F199" s="2" t="str">
        <f>IFERROR(Table5[[#This Row],[Net Circular Mass (kg)]]/Table5[[#This Row],[Total Output Mass (kg)]], "")</f>
        <v/>
      </c>
    </row>
    <row r="200" spans="5:6">
      <c r="E200" s="7">
        <f>IFERROR(Table5[[#This Row],[Circular Feedstock Mass (kg)]]*Table5[[#This Row],[Process Yield (%)]], " ")</f>
        <v>0</v>
      </c>
      <c r="F200" s="2" t="str">
        <f>IFERROR(Table5[[#This Row],[Net Circular Mass (kg)]]/Table5[[#This Row],[Total Output Mass (kg)]], "")</f>
        <v/>
      </c>
    </row>
    <row r="201" spans="5:6">
      <c r="E201" s="7">
        <f>IFERROR(Table5[[#This Row],[Circular Feedstock Mass (kg)]]*Table5[[#This Row],[Process Yield (%)]], " ")</f>
        <v>0</v>
      </c>
      <c r="F201" s="2" t="str">
        <f>IFERROR(Table5[[#This Row],[Net Circular Mass (kg)]]/Table5[[#This Row],[Total Output Mass (kg)]], "")</f>
        <v/>
      </c>
    </row>
    <row r="202" spans="5:6">
      <c r="E202" s="7">
        <f>IFERROR(Table5[[#This Row],[Circular Feedstock Mass (kg)]]*Table5[[#This Row],[Process Yield (%)]], " ")</f>
        <v>0</v>
      </c>
      <c r="F202" s="2" t="str">
        <f>IFERROR(Table5[[#This Row],[Net Circular Mass (kg)]]/Table5[[#This Row],[Total Output Mass (kg)]], "")</f>
        <v/>
      </c>
    </row>
    <row r="203" spans="5:6">
      <c r="E203" s="7">
        <f>IFERROR(Table5[[#This Row],[Circular Feedstock Mass (kg)]]*Table5[[#This Row],[Process Yield (%)]], " ")</f>
        <v>0</v>
      </c>
      <c r="F203" s="2" t="str">
        <f>IFERROR(Table5[[#This Row],[Net Circular Mass (kg)]]/Table5[[#This Row],[Total Output Mass (kg)]], "")</f>
        <v/>
      </c>
    </row>
    <row r="204" spans="5:6">
      <c r="E204" s="7">
        <f>IFERROR(Table5[[#This Row],[Circular Feedstock Mass (kg)]]*Table5[[#This Row],[Process Yield (%)]], " ")</f>
        <v>0</v>
      </c>
      <c r="F204" s="2" t="str">
        <f>IFERROR(Table5[[#This Row],[Net Circular Mass (kg)]]/Table5[[#This Row],[Total Output Mass (kg)]], "")</f>
        <v/>
      </c>
    </row>
    <row r="205" spans="5:6">
      <c r="E205" s="7">
        <f>IFERROR(Table5[[#This Row],[Circular Feedstock Mass (kg)]]*Table5[[#This Row],[Process Yield (%)]], " ")</f>
        <v>0</v>
      </c>
      <c r="F205" s="2" t="str">
        <f>IFERROR(Table5[[#This Row],[Net Circular Mass (kg)]]/Table5[[#This Row],[Total Output Mass (kg)]], "")</f>
        <v/>
      </c>
    </row>
    <row r="206" spans="5:6">
      <c r="E206" s="7">
        <f>IFERROR(Table5[[#This Row],[Circular Feedstock Mass (kg)]]*Table5[[#This Row],[Process Yield (%)]], " ")</f>
        <v>0</v>
      </c>
      <c r="F206" s="2" t="str">
        <f>IFERROR(Table5[[#This Row],[Net Circular Mass (kg)]]/Table5[[#This Row],[Total Output Mass (kg)]], "")</f>
        <v/>
      </c>
    </row>
    <row r="207" spans="5:6">
      <c r="E207" s="7">
        <f>IFERROR(Table5[[#This Row],[Circular Feedstock Mass (kg)]]*Table5[[#This Row],[Process Yield (%)]], " ")</f>
        <v>0</v>
      </c>
      <c r="F207" s="2" t="str">
        <f>IFERROR(Table5[[#This Row],[Net Circular Mass (kg)]]/Table5[[#This Row],[Total Output Mass (kg)]], "")</f>
        <v/>
      </c>
    </row>
    <row r="208" spans="5:6">
      <c r="E208" s="7">
        <f>IFERROR(Table5[[#This Row],[Circular Feedstock Mass (kg)]]*Table5[[#This Row],[Process Yield (%)]], " ")</f>
        <v>0</v>
      </c>
      <c r="F208" s="2" t="str">
        <f>IFERROR(Table5[[#This Row],[Net Circular Mass (kg)]]/Table5[[#This Row],[Total Output Mass (kg)]], "")</f>
        <v/>
      </c>
    </row>
    <row r="209" spans="5:6">
      <c r="E209" s="7">
        <f>IFERROR(Table5[[#This Row],[Circular Feedstock Mass (kg)]]*Table5[[#This Row],[Process Yield (%)]], " ")</f>
        <v>0</v>
      </c>
      <c r="F209" s="2" t="str">
        <f>IFERROR(Table5[[#This Row],[Net Circular Mass (kg)]]/Table5[[#This Row],[Total Output Mass (kg)]], "")</f>
        <v/>
      </c>
    </row>
    <row r="210" spans="5:6">
      <c r="E210" s="7">
        <f>IFERROR(Table5[[#This Row],[Circular Feedstock Mass (kg)]]*Table5[[#This Row],[Process Yield (%)]], " ")</f>
        <v>0</v>
      </c>
      <c r="F210" s="2" t="str">
        <f>IFERROR(Table5[[#This Row],[Net Circular Mass (kg)]]/Table5[[#This Row],[Total Output Mass (kg)]], "")</f>
        <v/>
      </c>
    </row>
    <row r="211" spans="5:6">
      <c r="E211" s="7">
        <f>IFERROR(Table5[[#This Row],[Circular Feedstock Mass (kg)]]*Table5[[#This Row],[Process Yield (%)]], " ")</f>
        <v>0</v>
      </c>
      <c r="F211" s="2" t="str">
        <f>IFERROR(Table5[[#This Row],[Net Circular Mass (kg)]]/Table5[[#This Row],[Total Output Mass (kg)]], "")</f>
        <v/>
      </c>
    </row>
    <row r="212" spans="5:6">
      <c r="E212" s="7">
        <f>IFERROR(Table5[[#This Row],[Circular Feedstock Mass (kg)]]*Table5[[#This Row],[Process Yield (%)]], " ")</f>
        <v>0</v>
      </c>
      <c r="F212" s="2" t="str">
        <f>IFERROR(Table5[[#This Row],[Net Circular Mass (kg)]]/Table5[[#This Row],[Total Output Mass (kg)]], "")</f>
        <v/>
      </c>
    </row>
    <row r="213" spans="5:6">
      <c r="E213" s="7">
        <f>IFERROR(Table5[[#This Row],[Circular Feedstock Mass (kg)]]*Table5[[#This Row],[Process Yield (%)]], " ")</f>
        <v>0</v>
      </c>
      <c r="F213" s="2" t="str">
        <f>IFERROR(Table5[[#This Row],[Net Circular Mass (kg)]]/Table5[[#This Row],[Total Output Mass (kg)]], "")</f>
        <v/>
      </c>
    </row>
    <row r="214" spans="5:6">
      <c r="E214" s="7">
        <f>IFERROR(Table5[[#This Row],[Circular Feedstock Mass (kg)]]*Table5[[#This Row],[Process Yield (%)]], " ")</f>
        <v>0</v>
      </c>
      <c r="F214" s="2" t="str">
        <f>IFERROR(Table5[[#This Row],[Net Circular Mass (kg)]]/Table5[[#This Row],[Total Output Mass (kg)]], "")</f>
        <v/>
      </c>
    </row>
    <row r="215" spans="5:6">
      <c r="E215" s="7">
        <f>IFERROR(Table5[[#This Row],[Circular Feedstock Mass (kg)]]*Table5[[#This Row],[Process Yield (%)]], " ")</f>
        <v>0</v>
      </c>
      <c r="F215" s="2" t="str">
        <f>IFERROR(Table5[[#This Row],[Net Circular Mass (kg)]]/Table5[[#This Row],[Total Output Mass (kg)]], "")</f>
        <v/>
      </c>
    </row>
    <row r="216" spans="5:6">
      <c r="E216" s="7">
        <f>IFERROR(Table5[[#This Row],[Circular Feedstock Mass (kg)]]*Table5[[#This Row],[Process Yield (%)]], " ")</f>
        <v>0</v>
      </c>
      <c r="F216" s="2" t="str">
        <f>IFERROR(Table5[[#This Row],[Net Circular Mass (kg)]]/Table5[[#This Row],[Total Output Mass (kg)]], "")</f>
        <v/>
      </c>
    </row>
    <row r="217" spans="5:6">
      <c r="E217" s="7">
        <f>IFERROR(Table5[[#This Row],[Circular Feedstock Mass (kg)]]*Table5[[#This Row],[Process Yield (%)]], " ")</f>
        <v>0</v>
      </c>
      <c r="F217" s="2" t="str">
        <f>IFERROR(Table5[[#This Row],[Net Circular Mass (kg)]]/Table5[[#This Row],[Total Output Mass (kg)]], "")</f>
        <v/>
      </c>
    </row>
    <row r="218" spans="5:6">
      <c r="E218" s="7">
        <f>IFERROR(Table5[[#This Row],[Circular Feedstock Mass (kg)]]*Table5[[#This Row],[Process Yield (%)]], " ")</f>
        <v>0</v>
      </c>
      <c r="F218" s="2" t="str">
        <f>IFERROR(Table5[[#This Row],[Net Circular Mass (kg)]]/Table5[[#This Row],[Total Output Mass (kg)]], "")</f>
        <v/>
      </c>
    </row>
    <row r="219" spans="5:6">
      <c r="E219" s="7">
        <f>IFERROR(Table5[[#This Row],[Circular Feedstock Mass (kg)]]*Table5[[#This Row],[Process Yield (%)]], " ")</f>
        <v>0</v>
      </c>
      <c r="F219" s="2" t="str">
        <f>IFERROR(Table5[[#This Row],[Net Circular Mass (kg)]]/Table5[[#This Row],[Total Output Mass (kg)]], "")</f>
        <v/>
      </c>
    </row>
    <row r="220" spans="5:6">
      <c r="E220" s="7">
        <f>IFERROR(Table5[[#This Row],[Circular Feedstock Mass (kg)]]*Table5[[#This Row],[Process Yield (%)]], " ")</f>
        <v>0</v>
      </c>
      <c r="F220" s="2" t="str">
        <f>IFERROR(Table5[[#This Row],[Net Circular Mass (kg)]]/Table5[[#This Row],[Total Output Mass (kg)]], "")</f>
        <v/>
      </c>
    </row>
    <row r="221" spans="5:6">
      <c r="E221" s="7">
        <f>IFERROR(Table5[[#This Row],[Circular Feedstock Mass (kg)]]*Table5[[#This Row],[Process Yield (%)]], " ")</f>
        <v>0</v>
      </c>
      <c r="F221" s="2" t="str">
        <f>IFERROR(Table5[[#This Row],[Net Circular Mass (kg)]]/Table5[[#This Row],[Total Output Mass (kg)]], "")</f>
        <v/>
      </c>
    </row>
    <row r="222" spans="5:6">
      <c r="E222" s="7">
        <f>IFERROR(Table5[[#This Row],[Circular Feedstock Mass (kg)]]*Table5[[#This Row],[Process Yield (%)]], " ")</f>
        <v>0</v>
      </c>
      <c r="F222" s="2" t="str">
        <f>IFERROR(Table5[[#This Row],[Net Circular Mass (kg)]]/Table5[[#This Row],[Total Output Mass (kg)]], "")</f>
        <v/>
      </c>
    </row>
    <row r="223" spans="5:6">
      <c r="E223" s="7">
        <f>IFERROR(Table5[[#This Row],[Circular Feedstock Mass (kg)]]*Table5[[#This Row],[Process Yield (%)]], " ")</f>
        <v>0</v>
      </c>
      <c r="F223" s="2" t="str">
        <f>IFERROR(Table5[[#This Row],[Net Circular Mass (kg)]]/Table5[[#This Row],[Total Output Mass (kg)]], "")</f>
        <v/>
      </c>
    </row>
    <row r="224" spans="5:6">
      <c r="E224" s="7">
        <f>IFERROR(Table5[[#This Row],[Circular Feedstock Mass (kg)]]*Table5[[#This Row],[Process Yield (%)]], " ")</f>
        <v>0</v>
      </c>
      <c r="F224" s="2" t="str">
        <f>IFERROR(Table5[[#This Row],[Net Circular Mass (kg)]]/Table5[[#This Row],[Total Output Mass (kg)]], "")</f>
        <v/>
      </c>
    </row>
    <row r="225" spans="5:6">
      <c r="E225" s="7">
        <f>IFERROR(Table5[[#This Row],[Circular Feedstock Mass (kg)]]*Table5[[#This Row],[Process Yield (%)]], " ")</f>
        <v>0</v>
      </c>
      <c r="F225" s="2" t="str">
        <f>IFERROR(Table5[[#This Row],[Net Circular Mass (kg)]]/Table5[[#This Row],[Total Output Mass (kg)]], "")</f>
        <v/>
      </c>
    </row>
    <row r="226" spans="5:6">
      <c r="E226" s="7">
        <f>IFERROR(Table5[[#This Row],[Circular Feedstock Mass (kg)]]*Table5[[#This Row],[Process Yield (%)]], " ")</f>
        <v>0</v>
      </c>
      <c r="F226" s="2" t="str">
        <f>IFERROR(Table5[[#This Row],[Net Circular Mass (kg)]]/Table5[[#This Row],[Total Output Mass (kg)]], "")</f>
        <v/>
      </c>
    </row>
    <row r="227" spans="5:6">
      <c r="E227" s="7">
        <f>IFERROR(Table5[[#This Row],[Circular Feedstock Mass (kg)]]*Table5[[#This Row],[Process Yield (%)]], " ")</f>
        <v>0</v>
      </c>
      <c r="F227" s="2" t="str">
        <f>IFERROR(Table5[[#This Row],[Net Circular Mass (kg)]]/Table5[[#This Row],[Total Output Mass (kg)]], "")</f>
        <v/>
      </c>
    </row>
    <row r="228" spans="5:6">
      <c r="E228" s="7">
        <f>IFERROR(Table5[[#This Row],[Circular Feedstock Mass (kg)]]*Table5[[#This Row],[Process Yield (%)]], " ")</f>
        <v>0</v>
      </c>
      <c r="F228" s="2" t="str">
        <f>IFERROR(Table5[[#This Row],[Net Circular Mass (kg)]]/Table5[[#This Row],[Total Output Mass (kg)]], "")</f>
        <v/>
      </c>
    </row>
    <row r="229" spans="5:6">
      <c r="E229" s="7">
        <f>IFERROR(Table5[[#This Row],[Circular Feedstock Mass (kg)]]*Table5[[#This Row],[Process Yield (%)]], " ")</f>
        <v>0</v>
      </c>
      <c r="F229" s="2" t="str">
        <f>IFERROR(Table5[[#This Row],[Net Circular Mass (kg)]]/Table5[[#This Row],[Total Output Mass (kg)]], "")</f>
        <v/>
      </c>
    </row>
    <row r="230" spans="5:6">
      <c r="E230" s="7">
        <f>IFERROR(Table5[[#This Row],[Circular Feedstock Mass (kg)]]*Table5[[#This Row],[Process Yield (%)]], " ")</f>
        <v>0</v>
      </c>
      <c r="F230" s="2" t="str">
        <f>IFERROR(Table5[[#This Row],[Net Circular Mass (kg)]]/Table5[[#This Row],[Total Output Mass (kg)]], "")</f>
        <v/>
      </c>
    </row>
    <row r="231" spans="5:6">
      <c r="E231" s="7">
        <f>IFERROR(Table5[[#This Row],[Circular Feedstock Mass (kg)]]*Table5[[#This Row],[Process Yield (%)]], " ")</f>
        <v>0</v>
      </c>
      <c r="F231" s="2" t="str">
        <f>IFERROR(Table5[[#This Row],[Net Circular Mass (kg)]]/Table5[[#This Row],[Total Output Mass (kg)]], "")</f>
        <v/>
      </c>
    </row>
    <row r="232" spans="5:6">
      <c r="E232" s="7">
        <f>IFERROR(Table5[[#This Row],[Circular Feedstock Mass (kg)]]*Table5[[#This Row],[Process Yield (%)]], " ")</f>
        <v>0</v>
      </c>
      <c r="F232" s="2" t="str">
        <f>IFERROR(Table5[[#This Row],[Net Circular Mass (kg)]]/Table5[[#This Row],[Total Output Mass (kg)]], "")</f>
        <v/>
      </c>
    </row>
    <row r="233" spans="5:6">
      <c r="E233" s="7">
        <f>IFERROR(Table5[[#This Row],[Circular Feedstock Mass (kg)]]*Table5[[#This Row],[Process Yield (%)]], " ")</f>
        <v>0</v>
      </c>
      <c r="F233" s="2" t="str">
        <f>IFERROR(Table5[[#This Row],[Net Circular Mass (kg)]]/Table5[[#This Row],[Total Output Mass (kg)]], "")</f>
        <v/>
      </c>
    </row>
    <row r="234" spans="5:6">
      <c r="E234" s="7">
        <f>IFERROR(Table5[[#This Row],[Circular Feedstock Mass (kg)]]*Table5[[#This Row],[Process Yield (%)]], " ")</f>
        <v>0</v>
      </c>
      <c r="F234" s="2" t="str">
        <f>IFERROR(Table5[[#This Row],[Net Circular Mass (kg)]]/Table5[[#This Row],[Total Output Mass (kg)]], "")</f>
        <v/>
      </c>
    </row>
    <row r="235" spans="5:6">
      <c r="E235" s="7">
        <f>IFERROR(Table5[[#This Row],[Circular Feedstock Mass (kg)]]*Table5[[#This Row],[Process Yield (%)]], " ")</f>
        <v>0</v>
      </c>
      <c r="F235" s="2" t="str">
        <f>IFERROR(Table5[[#This Row],[Net Circular Mass (kg)]]/Table5[[#This Row],[Total Output Mass (kg)]], "")</f>
        <v/>
      </c>
    </row>
    <row r="236" spans="5:6">
      <c r="E236" s="7">
        <f>IFERROR(Table5[[#This Row],[Circular Feedstock Mass (kg)]]*Table5[[#This Row],[Process Yield (%)]], " ")</f>
        <v>0</v>
      </c>
      <c r="F236" s="2" t="str">
        <f>IFERROR(Table5[[#This Row],[Net Circular Mass (kg)]]/Table5[[#This Row],[Total Output Mass (kg)]], "")</f>
        <v/>
      </c>
    </row>
    <row r="237" spans="5:6">
      <c r="E237" s="7">
        <f>IFERROR(Table5[[#This Row],[Circular Feedstock Mass (kg)]]*Table5[[#This Row],[Process Yield (%)]], " ")</f>
        <v>0</v>
      </c>
      <c r="F237" s="2" t="str">
        <f>IFERROR(Table5[[#This Row],[Net Circular Mass (kg)]]/Table5[[#This Row],[Total Output Mass (kg)]], "")</f>
        <v/>
      </c>
    </row>
    <row r="238" spans="5:6">
      <c r="E238" s="7">
        <f>IFERROR(Table5[[#This Row],[Circular Feedstock Mass (kg)]]*Table5[[#This Row],[Process Yield (%)]], " ")</f>
        <v>0</v>
      </c>
      <c r="F238" s="2" t="str">
        <f>IFERROR(Table5[[#This Row],[Net Circular Mass (kg)]]/Table5[[#This Row],[Total Output Mass (kg)]], "")</f>
        <v/>
      </c>
    </row>
    <row r="239" spans="5:6">
      <c r="E239" s="7">
        <f>IFERROR(Table5[[#This Row],[Circular Feedstock Mass (kg)]]*Table5[[#This Row],[Process Yield (%)]], " ")</f>
        <v>0</v>
      </c>
      <c r="F239" s="2" t="str">
        <f>IFERROR(Table5[[#This Row],[Net Circular Mass (kg)]]/Table5[[#This Row],[Total Output Mass (kg)]], "")</f>
        <v/>
      </c>
    </row>
    <row r="240" spans="5:6">
      <c r="E240" s="7">
        <f>IFERROR(Table5[[#This Row],[Circular Feedstock Mass (kg)]]*Table5[[#This Row],[Process Yield (%)]], " ")</f>
        <v>0</v>
      </c>
      <c r="F240" s="2" t="str">
        <f>IFERROR(Table5[[#This Row],[Net Circular Mass (kg)]]/Table5[[#This Row],[Total Output Mass (kg)]], "")</f>
        <v/>
      </c>
    </row>
    <row r="241" spans="5:6">
      <c r="E241" s="7">
        <f>IFERROR(Table5[[#This Row],[Circular Feedstock Mass (kg)]]*Table5[[#This Row],[Process Yield (%)]], " ")</f>
        <v>0</v>
      </c>
      <c r="F241" s="2" t="str">
        <f>IFERROR(Table5[[#This Row],[Net Circular Mass (kg)]]/Table5[[#This Row],[Total Output Mass (kg)]], "")</f>
        <v/>
      </c>
    </row>
    <row r="242" spans="5:6">
      <c r="E242" s="7">
        <f>IFERROR(Table5[[#This Row],[Circular Feedstock Mass (kg)]]*Table5[[#This Row],[Process Yield (%)]], " ")</f>
        <v>0</v>
      </c>
      <c r="F242" s="2" t="str">
        <f>IFERROR(Table5[[#This Row],[Net Circular Mass (kg)]]/Table5[[#This Row],[Total Output Mass (kg)]], "")</f>
        <v/>
      </c>
    </row>
    <row r="243" spans="5:6">
      <c r="E243" s="7">
        <f>IFERROR(Table5[[#This Row],[Circular Feedstock Mass (kg)]]*Table5[[#This Row],[Process Yield (%)]], " ")</f>
        <v>0</v>
      </c>
      <c r="F243" s="2" t="str">
        <f>IFERROR(Table5[[#This Row],[Net Circular Mass (kg)]]/Table5[[#This Row],[Total Output Mass (kg)]], "")</f>
        <v/>
      </c>
    </row>
    <row r="244" spans="5:6">
      <c r="E244" s="7">
        <f>IFERROR(Table5[[#This Row],[Circular Feedstock Mass (kg)]]*Table5[[#This Row],[Process Yield (%)]], " ")</f>
        <v>0</v>
      </c>
      <c r="F244" s="2" t="str">
        <f>IFERROR(Table5[[#This Row],[Net Circular Mass (kg)]]/Table5[[#This Row],[Total Output Mass (kg)]], "")</f>
        <v/>
      </c>
    </row>
    <row r="245" spans="5:6">
      <c r="E245" s="7">
        <f>IFERROR(Table5[[#This Row],[Circular Feedstock Mass (kg)]]*Table5[[#This Row],[Process Yield (%)]], " ")</f>
        <v>0</v>
      </c>
      <c r="F245" s="2" t="str">
        <f>IFERROR(Table5[[#This Row],[Net Circular Mass (kg)]]/Table5[[#This Row],[Total Output Mass (kg)]], "")</f>
        <v/>
      </c>
    </row>
    <row r="246" spans="5:6">
      <c r="E246" s="7">
        <f>IFERROR(Table5[[#This Row],[Circular Feedstock Mass (kg)]]*Table5[[#This Row],[Process Yield (%)]], " ")</f>
        <v>0</v>
      </c>
      <c r="F246" s="2" t="str">
        <f>IFERROR(Table5[[#This Row],[Net Circular Mass (kg)]]/Table5[[#This Row],[Total Output Mass (kg)]], "")</f>
        <v/>
      </c>
    </row>
    <row r="247" spans="5:6">
      <c r="E247" s="7">
        <f>IFERROR(Table5[[#This Row],[Circular Feedstock Mass (kg)]]*Table5[[#This Row],[Process Yield (%)]], " ")</f>
        <v>0</v>
      </c>
      <c r="F247" s="2" t="str">
        <f>IFERROR(Table5[[#This Row],[Net Circular Mass (kg)]]/Table5[[#This Row],[Total Output Mass (kg)]], "")</f>
        <v/>
      </c>
    </row>
    <row r="248" spans="5:6">
      <c r="E248" s="7">
        <f>IFERROR(Table5[[#This Row],[Circular Feedstock Mass (kg)]]*Table5[[#This Row],[Process Yield (%)]], " ")</f>
        <v>0</v>
      </c>
      <c r="F248" s="2" t="str">
        <f>IFERROR(Table5[[#This Row],[Net Circular Mass (kg)]]/Table5[[#This Row],[Total Output Mass (kg)]], "")</f>
        <v/>
      </c>
    </row>
    <row r="249" spans="5:6">
      <c r="E249" s="7">
        <f>IFERROR(Table5[[#This Row],[Circular Feedstock Mass (kg)]]*Table5[[#This Row],[Process Yield (%)]], " ")</f>
        <v>0</v>
      </c>
      <c r="F249" s="2" t="str">
        <f>IFERROR(Table5[[#This Row],[Net Circular Mass (kg)]]/Table5[[#This Row],[Total Output Mass (kg)]], "")</f>
        <v/>
      </c>
    </row>
    <row r="250" spans="5:6">
      <c r="E250" s="7">
        <f>IFERROR(Table5[[#This Row],[Circular Feedstock Mass (kg)]]*Table5[[#This Row],[Process Yield (%)]], " ")</f>
        <v>0</v>
      </c>
      <c r="F250" s="2" t="str">
        <f>IFERROR(Table5[[#This Row],[Net Circular Mass (kg)]]/Table5[[#This Row],[Total Output Mass (kg)]], "")</f>
        <v/>
      </c>
    </row>
    <row r="251" spans="5:6">
      <c r="E251" s="7">
        <f>IFERROR(Table5[[#This Row],[Circular Feedstock Mass (kg)]]*Table5[[#This Row],[Process Yield (%)]], " ")</f>
        <v>0</v>
      </c>
      <c r="F251" s="2" t="str">
        <f>IFERROR(Table5[[#This Row],[Net Circular Mass (kg)]]/Table5[[#This Row],[Total Output Mass (kg)]], "")</f>
        <v/>
      </c>
    </row>
    <row r="252" spans="5:6">
      <c r="E252" s="7">
        <f>IFERROR(Table5[[#This Row],[Circular Feedstock Mass (kg)]]*Table5[[#This Row],[Process Yield (%)]], " ")</f>
        <v>0</v>
      </c>
      <c r="F252" s="2" t="str">
        <f>IFERROR(Table5[[#This Row],[Net Circular Mass (kg)]]/Table5[[#This Row],[Total Output Mass (kg)]], "")</f>
        <v/>
      </c>
    </row>
    <row r="253" spans="5:6">
      <c r="E253" s="7">
        <f>IFERROR(Table5[[#This Row],[Circular Feedstock Mass (kg)]]*Table5[[#This Row],[Process Yield (%)]], " ")</f>
        <v>0</v>
      </c>
      <c r="F253" s="2" t="str">
        <f>IFERROR(Table5[[#This Row],[Net Circular Mass (kg)]]/Table5[[#This Row],[Total Output Mass (kg)]], "")</f>
        <v/>
      </c>
    </row>
    <row r="254" spans="5:6">
      <c r="E254" s="7">
        <f>IFERROR(Table5[[#This Row],[Circular Feedstock Mass (kg)]]*Table5[[#This Row],[Process Yield (%)]], " ")</f>
        <v>0</v>
      </c>
      <c r="F254" s="2" t="str">
        <f>IFERROR(Table5[[#This Row],[Net Circular Mass (kg)]]/Table5[[#This Row],[Total Output Mass (kg)]], "")</f>
        <v/>
      </c>
    </row>
    <row r="255" spans="5:6">
      <c r="E255" s="7">
        <f>IFERROR(Table5[[#This Row],[Circular Feedstock Mass (kg)]]*Table5[[#This Row],[Process Yield (%)]], " ")</f>
        <v>0</v>
      </c>
      <c r="F255" s="2" t="str">
        <f>IFERROR(Table5[[#This Row],[Net Circular Mass (kg)]]/Table5[[#This Row],[Total Output Mass (kg)]], "")</f>
        <v/>
      </c>
    </row>
    <row r="256" spans="5:6">
      <c r="E256" s="7">
        <f>IFERROR(Table5[[#This Row],[Circular Feedstock Mass (kg)]]*Table5[[#This Row],[Process Yield (%)]], " ")</f>
        <v>0</v>
      </c>
      <c r="F256" s="2" t="str">
        <f>IFERROR(Table5[[#This Row],[Net Circular Mass (kg)]]/Table5[[#This Row],[Total Output Mass (kg)]], "")</f>
        <v/>
      </c>
    </row>
    <row r="257" spans="5:6">
      <c r="E257" s="7">
        <f>IFERROR(Table5[[#This Row],[Circular Feedstock Mass (kg)]]*Table5[[#This Row],[Process Yield (%)]], " ")</f>
        <v>0</v>
      </c>
      <c r="F257" s="2" t="str">
        <f>IFERROR(Table5[[#This Row],[Net Circular Mass (kg)]]/Table5[[#This Row],[Total Output Mass (kg)]], "")</f>
        <v/>
      </c>
    </row>
    <row r="258" spans="5:6">
      <c r="E258" s="7">
        <f>IFERROR(Table5[[#This Row],[Circular Feedstock Mass (kg)]]*Table5[[#This Row],[Process Yield (%)]], " ")</f>
        <v>0</v>
      </c>
      <c r="F258" s="2" t="str">
        <f>IFERROR(Table5[[#This Row],[Net Circular Mass (kg)]]/Table5[[#This Row],[Total Output Mass (kg)]], "")</f>
        <v/>
      </c>
    </row>
    <row r="259" spans="5:6">
      <c r="E259" s="7">
        <f>IFERROR(Table5[[#This Row],[Circular Feedstock Mass (kg)]]*Table5[[#This Row],[Process Yield (%)]], " ")</f>
        <v>0</v>
      </c>
      <c r="F259" s="2" t="str">
        <f>IFERROR(Table5[[#This Row],[Net Circular Mass (kg)]]/Table5[[#This Row],[Total Output Mass (kg)]], "")</f>
        <v/>
      </c>
    </row>
    <row r="260" spans="5:6">
      <c r="E260" s="7">
        <f>IFERROR(Table5[[#This Row],[Circular Feedstock Mass (kg)]]*Table5[[#This Row],[Process Yield (%)]], " ")</f>
        <v>0</v>
      </c>
      <c r="F260" s="2" t="str">
        <f>IFERROR(Table5[[#This Row],[Net Circular Mass (kg)]]/Table5[[#This Row],[Total Output Mass (kg)]], "")</f>
        <v/>
      </c>
    </row>
    <row r="261" spans="5:6">
      <c r="E261" s="7">
        <f>IFERROR(Table5[[#This Row],[Circular Feedstock Mass (kg)]]*Table5[[#This Row],[Process Yield (%)]], " ")</f>
        <v>0</v>
      </c>
      <c r="F261" s="2" t="str">
        <f>IFERROR(Table5[[#This Row],[Net Circular Mass (kg)]]/Table5[[#This Row],[Total Output Mass (kg)]], "")</f>
        <v/>
      </c>
    </row>
    <row r="262" spans="5:6">
      <c r="E262" s="7">
        <f>IFERROR(Table5[[#This Row],[Circular Feedstock Mass (kg)]]*Table5[[#This Row],[Process Yield (%)]], " ")</f>
        <v>0</v>
      </c>
      <c r="F262" s="2" t="str">
        <f>IFERROR(Table5[[#This Row],[Net Circular Mass (kg)]]/Table5[[#This Row],[Total Output Mass (kg)]], "")</f>
        <v/>
      </c>
    </row>
    <row r="263" spans="5:6">
      <c r="E263" s="7">
        <f>IFERROR(Table5[[#This Row],[Circular Feedstock Mass (kg)]]*Table5[[#This Row],[Process Yield (%)]], " ")</f>
        <v>0</v>
      </c>
      <c r="F263" s="2" t="str">
        <f>IFERROR(Table5[[#This Row],[Net Circular Mass (kg)]]/Table5[[#This Row],[Total Output Mass (kg)]], "")</f>
        <v/>
      </c>
    </row>
    <row r="264" spans="5:6">
      <c r="E264" s="7">
        <f>IFERROR(Table5[[#This Row],[Circular Feedstock Mass (kg)]]*Table5[[#This Row],[Process Yield (%)]], " ")</f>
        <v>0</v>
      </c>
      <c r="F264" s="2" t="str">
        <f>IFERROR(Table5[[#This Row],[Net Circular Mass (kg)]]/Table5[[#This Row],[Total Output Mass (kg)]], "")</f>
        <v/>
      </c>
    </row>
    <row r="265" spans="5:6">
      <c r="E265" s="7">
        <f>IFERROR(Table5[[#This Row],[Circular Feedstock Mass (kg)]]*Table5[[#This Row],[Process Yield (%)]], " ")</f>
        <v>0</v>
      </c>
      <c r="F265" s="2" t="str">
        <f>IFERROR(Table5[[#This Row],[Net Circular Mass (kg)]]/Table5[[#This Row],[Total Output Mass (kg)]], "")</f>
        <v/>
      </c>
    </row>
    <row r="266" spans="5:6">
      <c r="E266" s="7">
        <f>IFERROR(Table5[[#This Row],[Circular Feedstock Mass (kg)]]*Table5[[#This Row],[Process Yield (%)]], " ")</f>
        <v>0</v>
      </c>
      <c r="F266" s="2" t="str">
        <f>IFERROR(Table5[[#This Row],[Net Circular Mass (kg)]]/Table5[[#This Row],[Total Output Mass (kg)]], "")</f>
        <v/>
      </c>
    </row>
    <row r="267" spans="5:6">
      <c r="E267" s="7">
        <f>IFERROR(Table5[[#This Row],[Circular Feedstock Mass (kg)]]*Table5[[#This Row],[Process Yield (%)]], " ")</f>
        <v>0</v>
      </c>
      <c r="F267" s="2" t="str">
        <f>IFERROR(Table5[[#This Row],[Net Circular Mass (kg)]]/Table5[[#This Row],[Total Output Mass (kg)]], "")</f>
        <v/>
      </c>
    </row>
    <row r="268" spans="5:6">
      <c r="E268" s="7">
        <f>IFERROR(Table5[[#This Row],[Circular Feedstock Mass (kg)]]*Table5[[#This Row],[Process Yield (%)]], " ")</f>
        <v>0</v>
      </c>
      <c r="F268" s="2" t="str">
        <f>IFERROR(Table5[[#This Row],[Net Circular Mass (kg)]]/Table5[[#This Row],[Total Output Mass (kg)]], "")</f>
        <v/>
      </c>
    </row>
    <row r="269" spans="5:6">
      <c r="E269" s="7">
        <f>IFERROR(Table5[[#This Row],[Circular Feedstock Mass (kg)]]*Table5[[#This Row],[Process Yield (%)]], " ")</f>
        <v>0</v>
      </c>
      <c r="F269" s="2" t="str">
        <f>IFERROR(Table5[[#This Row],[Net Circular Mass (kg)]]/Table5[[#This Row],[Total Output Mass (kg)]], "")</f>
        <v/>
      </c>
    </row>
    <row r="270" spans="5:6">
      <c r="E270" s="7">
        <f>IFERROR(Table5[[#This Row],[Circular Feedstock Mass (kg)]]*Table5[[#This Row],[Process Yield (%)]], " ")</f>
        <v>0</v>
      </c>
      <c r="F270" s="2" t="str">
        <f>IFERROR(Table5[[#This Row],[Net Circular Mass (kg)]]/Table5[[#This Row],[Total Output Mass (kg)]], "")</f>
        <v/>
      </c>
    </row>
    <row r="271" spans="5:6">
      <c r="E271" s="7">
        <f>IFERROR(Table5[[#This Row],[Circular Feedstock Mass (kg)]]*Table5[[#This Row],[Process Yield (%)]], " ")</f>
        <v>0</v>
      </c>
      <c r="F271" s="2" t="str">
        <f>IFERROR(Table5[[#This Row],[Net Circular Mass (kg)]]/Table5[[#This Row],[Total Output Mass (kg)]], "")</f>
        <v/>
      </c>
    </row>
    <row r="272" spans="5:6">
      <c r="E272" s="7">
        <f>IFERROR(Table5[[#This Row],[Circular Feedstock Mass (kg)]]*Table5[[#This Row],[Process Yield (%)]], " ")</f>
        <v>0</v>
      </c>
      <c r="F272" s="2" t="str">
        <f>IFERROR(Table5[[#This Row],[Net Circular Mass (kg)]]/Table5[[#This Row],[Total Output Mass (kg)]], "")</f>
        <v/>
      </c>
    </row>
    <row r="273" spans="5:6">
      <c r="E273" s="7">
        <f>IFERROR(Table5[[#This Row],[Circular Feedstock Mass (kg)]]*Table5[[#This Row],[Process Yield (%)]], " ")</f>
        <v>0</v>
      </c>
      <c r="F273" s="2" t="str">
        <f>IFERROR(Table5[[#This Row],[Net Circular Mass (kg)]]/Table5[[#This Row],[Total Output Mass (kg)]], "")</f>
        <v/>
      </c>
    </row>
    <row r="274" spans="5:6">
      <c r="E274" s="7">
        <f>IFERROR(Table5[[#This Row],[Circular Feedstock Mass (kg)]]*Table5[[#This Row],[Process Yield (%)]], " ")</f>
        <v>0</v>
      </c>
      <c r="F274" s="2" t="str">
        <f>IFERROR(Table5[[#This Row],[Net Circular Mass (kg)]]/Table5[[#This Row],[Total Output Mass (kg)]], "")</f>
        <v/>
      </c>
    </row>
    <row r="275" spans="5:6">
      <c r="E275" s="7">
        <f>IFERROR(Table5[[#This Row],[Circular Feedstock Mass (kg)]]*Table5[[#This Row],[Process Yield (%)]], " ")</f>
        <v>0</v>
      </c>
      <c r="F275" s="2" t="str">
        <f>IFERROR(Table5[[#This Row],[Net Circular Mass (kg)]]/Table5[[#This Row],[Total Output Mass (kg)]], "")</f>
        <v/>
      </c>
    </row>
    <row r="276" spans="5:6">
      <c r="E276" s="7">
        <f>IFERROR(Table5[[#This Row],[Circular Feedstock Mass (kg)]]*Table5[[#This Row],[Process Yield (%)]], " ")</f>
        <v>0</v>
      </c>
      <c r="F276" s="2" t="str">
        <f>IFERROR(Table5[[#This Row],[Net Circular Mass (kg)]]/Table5[[#This Row],[Total Output Mass (kg)]], "")</f>
        <v/>
      </c>
    </row>
    <row r="277" spans="5:6">
      <c r="E277" s="7">
        <f>IFERROR(Table5[[#This Row],[Circular Feedstock Mass (kg)]]*Table5[[#This Row],[Process Yield (%)]], " ")</f>
        <v>0</v>
      </c>
      <c r="F277" s="2" t="str">
        <f>IFERROR(Table5[[#This Row],[Net Circular Mass (kg)]]/Table5[[#This Row],[Total Output Mass (kg)]], "")</f>
        <v/>
      </c>
    </row>
    <row r="278" spans="5:6">
      <c r="E278" s="7">
        <f>IFERROR(Table5[[#This Row],[Circular Feedstock Mass (kg)]]*Table5[[#This Row],[Process Yield (%)]], " ")</f>
        <v>0</v>
      </c>
      <c r="F278" s="2" t="str">
        <f>IFERROR(Table5[[#This Row],[Net Circular Mass (kg)]]/Table5[[#This Row],[Total Output Mass (kg)]], "")</f>
        <v/>
      </c>
    </row>
    <row r="279" spans="5:6">
      <c r="E279" s="7">
        <f>IFERROR(Table5[[#This Row],[Circular Feedstock Mass (kg)]]*Table5[[#This Row],[Process Yield (%)]], " ")</f>
        <v>0</v>
      </c>
      <c r="F279" s="2" t="str">
        <f>IFERROR(Table5[[#This Row],[Net Circular Mass (kg)]]/Table5[[#This Row],[Total Output Mass (kg)]], "")</f>
        <v/>
      </c>
    </row>
    <row r="280" spans="5:6">
      <c r="E280" s="7">
        <f>IFERROR(Table5[[#This Row],[Circular Feedstock Mass (kg)]]*Table5[[#This Row],[Process Yield (%)]], " ")</f>
        <v>0</v>
      </c>
      <c r="F280" s="2" t="str">
        <f>IFERROR(Table5[[#This Row],[Net Circular Mass (kg)]]/Table5[[#This Row],[Total Output Mass (kg)]], "")</f>
        <v/>
      </c>
    </row>
    <row r="281" spans="5:6">
      <c r="E281" s="7">
        <f>IFERROR(Table5[[#This Row],[Circular Feedstock Mass (kg)]]*Table5[[#This Row],[Process Yield (%)]], " ")</f>
        <v>0</v>
      </c>
      <c r="F281" s="2" t="str">
        <f>IFERROR(Table5[[#This Row],[Net Circular Mass (kg)]]/Table5[[#This Row],[Total Output Mass (kg)]], "")</f>
        <v/>
      </c>
    </row>
    <row r="282" spans="5:6">
      <c r="E282" s="7">
        <f>IFERROR(Table5[[#This Row],[Circular Feedstock Mass (kg)]]*Table5[[#This Row],[Process Yield (%)]], " ")</f>
        <v>0</v>
      </c>
      <c r="F282" s="2" t="str">
        <f>IFERROR(Table5[[#This Row],[Net Circular Mass (kg)]]/Table5[[#This Row],[Total Output Mass (kg)]], "")</f>
        <v/>
      </c>
    </row>
    <row r="283" spans="5:6">
      <c r="E283" s="7">
        <f>IFERROR(Table5[[#This Row],[Circular Feedstock Mass (kg)]]*Table5[[#This Row],[Process Yield (%)]], " ")</f>
        <v>0</v>
      </c>
      <c r="F283" s="2" t="str">
        <f>IFERROR(Table5[[#This Row],[Net Circular Mass (kg)]]/Table5[[#This Row],[Total Output Mass (kg)]], "")</f>
        <v/>
      </c>
    </row>
    <row r="284" spans="5:6">
      <c r="E284" s="7">
        <f>IFERROR(Table5[[#This Row],[Circular Feedstock Mass (kg)]]*Table5[[#This Row],[Process Yield (%)]], " ")</f>
        <v>0</v>
      </c>
      <c r="F284" s="2" t="str">
        <f>IFERROR(Table5[[#This Row],[Net Circular Mass (kg)]]/Table5[[#This Row],[Total Output Mass (kg)]], "")</f>
        <v/>
      </c>
    </row>
    <row r="285" spans="5:6">
      <c r="E285" s="7">
        <f>IFERROR(Table5[[#This Row],[Circular Feedstock Mass (kg)]]*Table5[[#This Row],[Process Yield (%)]], " ")</f>
        <v>0</v>
      </c>
      <c r="F285" s="2" t="str">
        <f>IFERROR(Table5[[#This Row],[Net Circular Mass (kg)]]/Table5[[#This Row],[Total Output Mass (kg)]], "")</f>
        <v/>
      </c>
    </row>
    <row r="286" spans="5:6">
      <c r="E286" s="7">
        <f>IFERROR(Table5[[#This Row],[Circular Feedstock Mass (kg)]]*Table5[[#This Row],[Process Yield (%)]], " ")</f>
        <v>0</v>
      </c>
      <c r="F286" s="2" t="str">
        <f>IFERROR(Table5[[#This Row],[Net Circular Mass (kg)]]/Table5[[#This Row],[Total Output Mass (kg)]], "")</f>
        <v/>
      </c>
    </row>
    <row r="287" spans="5:6">
      <c r="E287" s="7">
        <f>IFERROR(Table5[[#This Row],[Circular Feedstock Mass (kg)]]*Table5[[#This Row],[Process Yield (%)]], " ")</f>
        <v>0</v>
      </c>
      <c r="F287" s="2" t="str">
        <f>IFERROR(Table5[[#This Row],[Net Circular Mass (kg)]]/Table5[[#This Row],[Total Output Mass (kg)]], "")</f>
        <v/>
      </c>
    </row>
    <row r="288" spans="5:6">
      <c r="E288" s="7">
        <f>IFERROR(Table5[[#This Row],[Circular Feedstock Mass (kg)]]*Table5[[#This Row],[Process Yield (%)]], " ")</f>
        <v>0</v>
      </c>
      <c r="F288" s="2" t="str">
        <f>IFERROR(Table5[[#This Row],[Net Circular Mass (kg)]]/Table5[[#This Row],[Total Output Mass (kg)]], "")</f>
        <v/>
      </c>
    </row>
    <row r="289" spans="5:6">
      <c r="E289" s="7">
        <f>IFERROR(Table5[[#This Row],[Circular Feedstock Mass (kg)]]*Table5[[#This Row],[Process Yield (%)]], " ")</f>
        <v>0</v>
      </c>
      <c r="F289" s="2" t="str">
        <f>IFERROR(Table5[[#This Row],[Net Circular Mass (kg)]]/Table5[[#This Row],[Total Output Mass (kg)]], "")</f>
        <v/>
      </c>
    </row>
    <row r="290" spans="5:6">
      <c r="E290" s="7">
        <f>IFERROR(Table5[[#This Row],[Circular Feedstock Mass (kg)]]*Table5[[#This Row],[Process Yield (%)]], " ")</f>
        <v>0</v>
      </c>
      <c r="F290" s="2" t="str">
        <f>IFERROR(Table5[[#This Row],[Net Circular Mass (kg)]]/Table5[[#This Row],[Total Output Mass (kg)]], "")</f>
        <v/>
      </c>
    </row>
    <row r="291" spans="5:6">
      <c r="E291" s="7">
        <f>IFERROR(Table5[[#This Row],[Circular Feedstock Mass (kg)]]*Table5[[#This Row],[Process Yield (%)]], " ")</f>
        <v>0</v>
      </c>
      <c r="F291" s="2" t="str">
        <f>IFERROR(Table5[[#This Row],[Net Circular Mass (kg)]]/Table5[[#This Row],[Total Output Mass (kg)]], "")</f>
        <v/>
      </c>
    </row>
    <row r="292" spans="5:6">
      <c r="E292" s="7">
        <f>IFERROR(Table5[[#This Row],[Circular Feedstock Mass (kg)]]*Table5[[#This Row],[Process Yield (%)]], " ")</f>
        <v>0</v>
      </c>
      <c r="F292" s="2" t="str">
        <f>IFERROR(Table5[[#This Row],[Net Circular Mass (kg)]]/Table5[[#This Row],[Total Output Mass (kg)]], "")</f>
        <v/>
      </c>
    </row>
    <row r="293" spans="5:6">
      <c r="E293" s="7">
        <f>IFERROR(Table5[[#This Row],[Circular Feedstock Mass (kg)]]*Table5[[#This Row],[Process Yield (%)]], " ")</f>
        <v>0</v>
      </c>
      <c r="F293" s="2" t="str">
        <f>IFERROR(Table5[[#This Row],[Net Circular Mass (kg)]]/Table5[[#This Row],[Total Output Mass (kg)]], "")</f>
        <v/>
      </c>
    </row>
    <row r="294" spans="5:6">
      <c r="E294" s="7">
        <f>IFERROR(Table5[[#This Row],[Circular Feedstock Mass (kg)]]*Table5[[#This Row],[Process Yield (%)]], " ")</f>
        <v>0</v>
      </c>
      <c r="F294" s="2" t="str">
        <f>IFERROR(Table5[[#This Row],[Net Circular Mass (kg)]]/Table5[[#This Row],[Total Output Mass (kg)]], "")</f>
        <v/>
      </c>
    </row>
    <row r="295" spans="5:6">
      <c r="E295" s="7">
        <f>IFERROR(Table5[[#This Row],[Circular Feedstock Mass (kg)]]*Table5[[#This Row],[Process Yield (%)]], " ")</f>
        <v>0</v>
      </c>
      <c r="F295" s="2" t="str">
        <f>IFERROR(Table5[[#This Row],[Net Circular Mass (kg)]]/Table5[[#This Row],[Total Output Mass (kg)]], "")</f>
        <v/>
      </c>
    </row>
    <row r="296" spans="5:6">
      <c r="E296" s="7">
        <f>IFERROR(Table5[[#This Row],[Circular Feedstock Mass (kg)]]*Table5[[#This Row],[Process Yield (%)]], " ")</f>
        <v>0</v>
      </c>
      <c r="F296" s="2" t="str">
        <f>IFERROR(Table5[[#This Row],[Net Circular Mass (kg)]]/Table5[[#This Row],[Total Output Mass (kg)]], "")</f>
        <v/>
      </c>
    </row>
    <row r="297" spans="5:6">
      <c r="E297" s="7">
        <f>IFERROR(Table5[[#This Row],[Circular Feedstock Mass (kg)]]*Table5[[#This Row],[Process Yield (%)]], " ")</f>
        <v>0</v>
      </c>
      <c r="F297" s="2" t="str">
        <f>IFERROR(Table5[[#This Row],[Net Circular Mass (kg)]]/Table5[[#This Row],[Total Output Mass (kg)]], "")</f>
        <v/>
      </c>
    </row>
    <row r="298" spans="5:6">
      <c r="E298" s="7">
        <f>IFERROR(Table5[[#This Row],[Circular Feedstock Mass (kg)]]*Table5[[#This Row],[Process Yield (%)]], " ")</f>
        <v>0</v>
      </c>
      <c r="F298" s="2" t="str">
        <f>IFERROR(Table5[[#This Row],[Net Circular Mass (kg)]]/Table5[[#This Row],[Total Output Mass (kg)]], "")</f>
        <v/>
      </c>
    </row>
    <row r="299" spans="5:6">
      <c r="E299" s="7">
        <f>IFERROR(Table5[[#This Row],[Circular Feedstock Mass (kg)]]*Table5[[#This Row],[Process Yield (%)]], " ")</f>
        <v>0</v>
      </c>
      <c r="F299" s="2" t="str">
        <f>IFERROR(Table5[[#This Row],[Net Circular Mass (kg)]]/Table5[[#This Row],[Total Output Mass (kg)]], "")</f>
        <v/>
      </c>
    </row>
    <row r="300" spans="5:6">
      <c r="E300" s="7">
        <f>IFERROR(Table5[[#This Row],[Circular Feedstock Mass (kg)]]*Table5[[#This Row],[Process Yield (%)]], " ")</f>
        <v>0</v>
      </c>
      <c r="F300" s="2" t="str">
        <f>IFERROR(Table5[[#This Row],[Net Circular Mass (kg)]]/Table5[[#This Row],[Total Output Mass (kg)]], "")</f>
        <v/>
      </c>
    </row>
    <row r="301" spans="5:6">
      <c r="E301" s="7">
        <f>IFERROR(Table5[[#This Row],[Circular Feedstock Mass (kg)]]*Table5[[#This Row],[Process Yield (%)]], " ")</f>
        <v>0</v>
      </c>
      <c r="F301" s="2" t="str">
        <f>IFERROR(Table5[[#This Row],[Net Circular Mass (kg)]]/Table5[[#This Row],[Total Output Mass (kg)]], "")</f>
        <v/>
      </c>
    </row>
    <row r="302" spans="5:6">
      <c r="E302" s="7">
        <f>IFERROR(Table5[[#This Row],[Circular Feedstock Mass (kg)]]*Table5[[#This Row],[Process Yield (%)]], " ")</f>
        <v>0</v>
      </c>
      <c r="F302" s="2" t="str">
        <f>IFERROR(Table5[[#This Row],[Net Circular Mass (kg)]]/Table5[[#This Row],[Total Output Mass (kg)]], "")</f>
        <v/>
      </c>
    </row>
    <row r="303" spans="5:6">
      <c r="E303" s="7">
        <f>IFERROR(Table5[[#This Row],[Circular Feedstock Mass (kg)]]*Table5[[#This Row],[Process Yield (%)]], " ")</f>
        <v>0</v>
      </c>
      <c r="F303" s="2" t="str">
        <f>IFERROR(Table5[[#This Row],[Net Circular Mass (kg)]]/Table5[[#This Row],[Total Output Mass (kg)]], "")</f>
        <v/>
      </c>
    </row>
    <row r="304" spans="5:6">
      <c r="E304" s="7">
        <f>IFERROR(Table5[[#This Row],[Circular Feedstock Mass (kg)]]*Table5[[#This Row],[Process Yield (%)]], " ")</f>
        <v>0</v>
      </c>
      <c r="F304" s="2" t="str">
        <f>IFERROR(Table5[[#This Row],[Net Circular Mass (kg)]]/Table5[[#This Row],[Total Output Mass (kg)]], "")</f>
        <v/>
      </c>
    </row>
    <row r="305" spans="5:6">
      <c r="E305" s="7">
        <f>IFERROR(Table5[[#This Row],[Circular Feedstock Mass (kg)]]*Table5[[#This Row],[Process Yield (%)]], " ")</f>
        <v>0</v>
      </c>
      <c r="F305" s="2" t="str">
        <f>IFERROR(Table5[[#This Row],[Net Circular Mass (kg)]]/Table5[[#This Row],[Total Output Mass (kg)]], "")</f>
        <v/>
      </c>
    </row>
    <row r="306" spans="5:6">
      <c r="E306" s="7">
        <f>IFERROR(Table5[[#This Row],[Circular Feedstock Mass (kg)]]*Table5[[#This Row],[Process Yield (%)]], " ")</f>
        <v>0</v>
      </c>
      <c r="F306" s="2" t="str">
        <f>IFERROR(Table5[[#This Row],[Net Circular Mass (kg)]]/Table5[[#This Row],[Total Output Mass (kg)]], "")</f>
        <v/>
      </c>
    </row>
    <row r="307" spans="5:6">
      <c r="E307" s="7">
        <f>IFERROR(Table5[[#This Row],[Circular Feedstock Mass (kg)]]*Table5[[#This Row],[Process Yield (%)]], " ")</f>
        <v>0</v>
      </c>
      <c r="F307" s="2" t="str">
        <f>IFERROR(Table5[[#This Row],[Net Circular Mass (kg)]]/Table5[[#This Row],[Total Output Mass (kg)]], "")</f>
        <v/>
      </c>
    </row>
    <row r="308" spans="5:6">
      <c r="E308" s="7">
        <f>IFERROR(Table5[[#This Row],[Circular Feedstock Mass (kg)]]*Table5[[#This Row],[Process Yield (%)]], " ")</f>
        <v>0</v>
      </c>
      <c r="F308" s="2" t="str">
        <f>IFERROR(Table5[[#This Row],[Net Circular Mass (kg)]]/Table5[[#This Row],[Total Output Mass (kg)]], "")</f>
        <v/>
      </c>
    </row>
    <row r="309" spans="5:6">
      <c r="E309" s="7">
        <f>IFERROR(Table5[[#This Row],[Circular Feedstock Mass (kg)]]*Table5[[#This Row],[Process Yield (%)]], " ")</f>
        <v>0</v>
      </c>
      <c r="F309" s="2" t="str">
        <f>IFERROR(Table5[[#This Row],[Net Circular Mass (kg)]]/Table5[[#This Row],[Total Output Mass (kg)]], "")</f>
        <v/>
      </c>
    </row>
    <row r="310" spans="5:6">
      <c r="E310" s="7">
        <f>IFERROR(Table5[[#This Row],[Circular Feedstock Mass (kg)]]*Table5[[#This Row],[Process Yield (%)]], " ")</f>
        <v>0</v>
      </c>
      <c r="F310" s="2" t="str">
        <f>IFERROR(Table5[[#This Row],[Net Circular Mass (kg)]]/Table5[[#This Row],[Total Output Mass (kg)]], "")</f>
        <v/>
      </c>
    </row>
    <row r="311" spans="5:6">
      <c r="E311" s="7">
        <f>IFERROR(Table5[[#This Row],[Circular Feedstock Mass (kg)]]*Table5[[#This Row],[Process Yield (%)]], " ")</f>
        <v>0</v>
      </c>
      <c r="F311" s="2" t="str">
        <f>IFERROR(Table5[[#This Row],[Net Circular Mass (kg)]]/Table5[[#This Row],[Total Output Mass (kg)]], "")</f>
        <v/>
      </c>
    </row>
    <row r="312" spans="5:6">
      <c r="E312" s="7">
        <f>IFERROR(Table5[[#This Row],[Circular Feedstock Mass (kg)]]*Table5[[#This Row],[Process Yield (%)]], " ")</f>
        <v>0</v>
      </c>
      <c r="F312" s="2" t="str">
        <f>IFERROR(Table5[[#This Row],[Net Circular Mass (kg)]]/Table5[[#This Row],[Total Output Mass (kg)]], "")</f>
        <v/>
      </c>
    </row>
    <row r="313" spans="5:6">
      <c r="E313" s="7">
        <f>IFERROR(Table5[[#This Row],[Circular Feedstock Mass (kg)]]*Table5[[#This Row],[Process Yield (%)]], " ")</f>
        <v>0</v>
      </c>
      <c r="F313" s="2" t="str">
        <f>IFERROR(Table5[[#This Row],[Net Circular Mass (kg)]]/Table5[[#This Row],[Total Output Mass (kg)]], "")</f>
        <v/>
      </c>
    </row>
    <row r="314" spans="5:6">
      <c r="E314" s="7">
        <f>IFERROR(Table5[[#This Row],[Circular Feedstock Mass (kg)]]*Table5[[#This Row],[Process Yield (%)]], " ")</f>
        <v>0</v>
      </c>
      <c r="F314" s="2" t="str">
        <f>IFERROR(Table5[[#This Row],[Net Circular Mass (kg)]]/Table5[[#This Row],[Total Output Mass (kg)]], "")</f>
        <v/>
      </c>
    </row>
    <row r="315" spans="5:6">
      <c r="E315" s="7">
        <f>IFERROR(Table5[[#This Row],[Circular Feedstock Mass (kg)]]*Table5[[#This Row],[Process Yield (%)]], " ")</f>
        <v>0</v>
      </c>
      <c r="F315" s="2" t="str">
        <f>IFERROR(Table5[[#This Row],[Net Circular Mass (kg)]]/Table5[[#This Row],[Total Output Mass (kg)]], "")</f>
        <v/>
      </c>
    </row>
    <row r="316" spans="5:6">
      <c r="E316" s="7">
        <f>IFERROR(Table5[[#This Row],[Circular Feedstock Mass (kg)]]*Table5[[#This Row],[Process Yield (%)]], " ")</f>
        <v>0</v>
      </c>
      <c r="F316" s="2" t="str">
        <f>IFERROR(Table5[[#This Row],[Net Circular Mass (kg)]]/Table5[[#This Row],[Total Output Mass (kg)]], "")</f>
        <v/>
      </c>
    </row>
    <row r="317" spans="5:6">
      <c r="E317" s="7">
        <f>IFERROR(Table5[[#This Row],[Circular Feedstock Mass (kg)]]*Table5[[#This Row],[Process Yield (%)]], " ")</f>
        <v>0</v>
      </c>
      <c r="F317" s="2" t="str">
        <f>IFERROR(Table5[[#This Row],[Net Circular Mass (kg)]]/Table5[[#This Row],[Total Output Mass (kg)]], "")</f>
        <v/>
      </c>
    </row>
    <row r="318" spans="5:6">
      <c r="E318" s="7">
        <f>IFERROR(Table5[[#This Row],[Circular Feedstock Mass (kg)]]*Table5[[#This Row],[Process Yield (%)]], " ")</f>
        <v>0</v>
      </c>
      <c r="F318" s="2" t="str">
        <f>IFERROR(Table5[[#This Row],[Net Circular Mass (kg)]]/Table5[[#This Row],[Total Output Mass (kg)]], "")</f>
        <v/>
      </c>
    </row>
    <row r="319" spans="5:6">
      <c r="E319" s="7">
        <f>IFERROR(Table5[[#This Row],[Circular Feedstock Mass (kg)]]*Table5[[#This Row],[Process Yield (%)]], " ")</f>
        <v>0</v>
      </c>
      <c r="F319" s="2" t="str">
        <f>IFERROR(Table5[[#This Row],[Net Circular Mass (kg)]]/Table5[[#This Row],[Total Output Mass (kg)]], "")</f>
        <v/>
      </c>
    </row>
    <row r="320" spans="5:6">
      <c r="E320" s="7">
        <f>IFERROR(Table5[[#This Row],[Circular Feedstock Mass (kg)]]*Table5[[#This Row],[Process Yield (%)]], " ")</f>
        <v>0</v>
      </c>
      <c r="F320" s="2" t="str">
        <f>IFERROR(Table5[[#This Row],[Net Circular Mass (kg)]]/Table5[[#This Row],[Total Output Mass (kg)]], "")</f>
        <v/>
      </c>
    </row>
    <row r="321" spans="5:6">
      <c r="E321" s="7">
        <f>IFERROR(Table5[[#This Row],[Circular Feedstock Mass (kg)]]*Table5[[#This Row],[Process Yield (%)]], " ")</f>
        <v>0</v>
      </c>
      <c r="F321" s="2" t="str">
        <f>IFERROR(Table5[[#This Row],[Net Circular Mass (kg)]]/Table5[[#This Row],[Total Output Mass (kg)]], "")</f>
        <v/>
      </c>
    </row>
    <row r="322" spans="5:6">
      <c r="E322" s="7">
        <f>IFERROR(Table5[[#This Row],[Circular Feedstock Mass (kg)]]*Table5[[#This Row],[Process Yield (%)]], " ")</f>
        <v>0</v>
      </c>
      <c r="F322" s="2" t="str">
        <f>IFERROR(Table5[[#This Row],[Net Circular Mass (kg)]]/Table5[[#This Row],[Total Output Mass (kg)]], "")</f>
        <v/>
      </c>
    </row>
    <row r="323" spans="5:6">
      <c r="E323" s="7">
        <f>IFERROR(Table5[[#This Row],[Circular Feedstock Mass (kg)]]*Table5[[#This Row],[Process Yield (%)]], " ")</f>
        <v>0</v>
      </c>
      <c r="F323" s="2" t="str">
        <f>IFERROR(Table5[[#This Row],[Net Circular Mass (kg)]]/Table5[[#This Row],[Total Output Mass (kg)]], "")</f>
        <v/>
      </c>
    </row>
    <row r="324" spans="5:6">
      <c r="E324" s="7">
        <f>IFERROR(Table5[[#This Row],[Circular Feedstock Mass (kg)]]*Table5[[#This Row],[Process Yield (%)]], " ")</f>
        <v>0</v>
      </c>
      <c r="F324" s="2" t="str">
        <f>IFERROR(Table5[[#This Row],[Net Circular Mass (kg)]]/Table5[[#This Row],[Total Output Mass (kg)]], "")</f>
        <v/>
      </c>
    </row>
    <row r="325" spans="5:6">
      <c r="E325" s="7">
        <f>IFERROR(Table5[[#This Row],[Circular Feedstock Mass (kg)]]*Table5[[#This Row],[Process Yield (%)]], " ")</f>
        <v>0</v>
      </c>
      <c r="F325" s="2" t="str">
        <f>IFERROR(Table5[[#This Row],[Net Circular Mass (kg)]]/Table5[[#This Row],[Total Output Mass (kg)]], "")</f>
        <v/>
      </c>
    </row>
    <row r="326" spans="5:6">
      <c r="E326" s="7">
        <f>IFERROR(Table5[[#This Row],[Circular Feedstock Mass (kg)]]*Table5[[#This Row],[Process Yield (%)]], " ")</f>
        <v>0</v>
      </c>
      <c r="F326" s="2" t="str">
        <f>IFERROR(Table5[[#This Row],[Net Circular Mass (kg)]]/Table5[[#This Row],[Total Output Mass (kg)]], "")</f>
        <v/>
      </c>
    </row>
    <row r="327" spans="5:6">
      <c r="E327" s="7">
        <f>IFERROR(Table5[[#This Row],[Circular Feedstock Mass (kg)]]*Table5[[#This Row],[Process Yield (%)]], " ")</f>
        <v>0</v>
      </c>
      <c r="F327" s="2" t="str">
        <f>IFERROR(Table5[[#This Row],[Net Circular Mass (kg)]]/Table5[[#This Row],[Total Output Mass (kg)]], "")</f>
        <v/>
      </c>
    </row>
    <row r="328" spans="5:6">
      <c r="E328" s="7">
        <f>IFERROR(Table5[[#This Row],[Circular Feedstock Mass (kg)]]*Table5[[#This Row],[Process Yield (%)]], " ")</f>
        <v>0</v>
      </c>
      <c r="F328" s="2" t="str">
        <f>IFERROR(Table5[[#This Row],[Net Circular Mass (kg)]]/Table5[[#This Row],[Total Output Mass (kg)]], "")</f>
        <v/>
      </c>
    </row>
    <row r="329" spans="5:6">
      <c r="E329" s="7">
        <f>IFERROR(Table5[[#This Row],[Circular Feedstock Mass (kg)]]*Table5[[#This Row],[Process Yield (%)]], " ")</f>
        <v>0</v>
      </c>
      <c r="F329" s="2" t="str">
        <f>IFERROR(Table5[[#This Row],[Net Circular Mass (kg)]]/Table5[[#This Row],[Total Output Mass (kg)]], "")</f>
        <v/>
      </c>
    </row>
    <row r="330" spans="5:6">
      <c r="E330" s="7">
        <f>IFERROR(Table5[[#This Row],[Circular Feedstock Mass (kg)]]*Table5[[#This Row],[Process Yield (%)]], " ")</f>
        <v>0</v>
      </c>
      <c r="F330" s="2" t="str">
        <f>IFERROR(Table5[[#This Row],[Net Circular Mass (kg)]]/Table5[[#This Row],[Total Output Mass (kg)]], "")</f>
        <v/>
      </c>
    </row>
    <row r="331" spans="5:6">
      <c r="E331" s="7">
        <f>IFERROR(Table5[[#This Row],[Circular Feedstock Mass (kg)]]*Table5[[#This Row],[Process Yield (%)]], " ")</f>
        <v>0</v>
      </c>
      <c r="F331" s="2" t="str">
        <f>IFERROR(Table5[[#This Row],[Net Circular Mass (kg)]]/Table5[[#This Row],[Total Output Mass (kg)]], "")</f>
        <v/>
      </c>
    </row>
    <row r="332" spans="5:6">
      <c r="E332" s="7">
        <f>IFERROR(Table5[[#This Row],[Circular Feedstock Mass (kg)]]*Table5[[#This Row],[Process Yield (%)]], " ")</f>
        <v>0</v>
      </c>
      <c r="F332" s="2" t="str">
        <f>IFERROR(Table5[[#This Row],[Net Circular Mass (kg)]]/Table5[[#This Row],[Total Output Mass (kg)]], "")</f>
        <v/>
      </c>
    </row>
    <row r="333" spans="5:6">
      <c r="E333" s="7">
        <f>IFERROR(Table5[[#This Row],[Circular Feedstock Mass (kg)]]*Table5[[#This Row],[Process Yield (%)]], " ")</f>
        <v>0</v>
      </c>
      <c r="F333" s="2" t="str">
        <f>IFERROR(Table5[[#This Row],[Net Circular Mass (kg)]]/Table5[[#This Row],[Total Output Mass (kg)]], "")</f>
        <v/>
      </c>
    </row>
    <row r="334" spans="5:6">
      <c r="E334" s="7">
        <f>IFERROR(Table5[[#This Row],[Circular Feedstock Mass (kg)]]*Table5[[#This Row],[Process Yield (%)]], " ")</f>
        <v>0</v>
      </c>
      <c r="F334" s="2" t="str">
        <f>IFERROR(Table5[[#This Row],[Net Circular Mass (kg)]]/Table5[[#This Row],[Total Output Mass (kg)]], "")</f>
        <v/>
      </c>
    </row>
    <row r="335" spans="5:6">
      <c r="E335" s="7">
        <f>IFERROR(Table5[[#This Row],[Circular Feedstock Mass (kg)]]*Table5[[#This Row],[Process Yield (%)]], " ")</f>
        <v>0</v>
      </c>
      <c r="F335" s="2" t="str">
        <f>IFERROR(Table5[[#This Row],[Net Circular Mass (kg)]]/Table5[[#This Row],[Total Output Mass (kg)]], "")</f>
        <v/>
      </c>
    </row>
    <row r="336" spans="5:6">
      <c r="E336" s="7">
        <f>IFERROR(Table5[[#This Row],[Circular Feedstock Mass (kg)]]*Table5[[#This Row],[Process Yield (%)]], " ")</f>
        <v>0</v>
      </c>
      <c r="F336" s="2" t="str">
        <f>IFERROR(Table5[[#This Row],[Net Circular Mass (kg)]]/Table5[[#This Row],[Total Output Mass (kg)]], "")</f>
        <v/>
      </c>
    </row>
    <row r="337" spans="5:6">
      <c r="E337" s="7">
        <f>IFERROR(Table5[[#This Row],[Circular Feedstock Mass (kg)]]*Table5[[#This Row],[Process Yield (%)]], " ")</f>
        <v>0</v>
      </c>
      <c r="F337" s="2" t="str">
        <f>IFERROR(Table5[[#This Row],[Net Circular Mass (kg)]]/Table5[[#This Row],[Total Output Mass (kg)]], "")</f>
        <v/>
      </c>
    </row>
    <row r="338" spans="5:6">
      <c r="E338" s="7">
        <f>IFERROR(Table5[[#This Row],[Circular Feedstock Mass (kg)]]*Table5[[#This Row],[Process Yield (%)]], " ")</f>
        <v>0</v>
      </c>
      <c r="F338" s="2" t="str">
        <f>IFERROR(Table5[[#This Row],[Net Circular Mass (kg)]]/Table5[[#This Row],[Total Output Mass (kg)]], "")</f>
        <v/>
      </c>
    </row>
    <row r="339" spans="5:6">
      <c r="E339" s="7">
        <f>IFERROR(Table5[[#This Row],[Circular Feedstock Mass (kg)]]*Table5[[#This Row],[Process Yield (%)]], " ")</f>
        <v>0</v>
      </c>
      <c r="F339" s="2" t="str">
        <f>IFERROR(Table5[[#This Row],[Net Circular Mass (kg)]]/Table5[[#This Row],[Total Output Mass (kg)]], "")</f>
        <v/>
      </c>
    </row>
    <row r="340" spans="5:6">
      <c r="E340" s="7">
        <f>IFERROR(Table5[[#This Row],[Circular Feedstock Mass (kg)]]*Table5[[#This Row],[Process Yield (%)]], " ")</f>
        <v>0</v>
      </c>
      <c r="F340" s="2" t="str">
        <f>IFERROR(Table5[[#This Row],[Net Circular Mass (kg)]]/Table5[[#This Row],[Total Output Mass (kg)]], "")</f>
        <v/>
      </c>
    </row>
    <row r="341" spans="5:6">
      <c r="E341" s="7">
        <f>IFERROR(Table5[[#This Row],[Circular Feedstock Mass (kg)]]*Table5[[#This Row],[Process Yield (%)]], " ")</f>
        <v>0</v>
      </c>
      <c r="F341" s="2" t="str">
        <f>IFERROR(Table5[[#This Row],[Net Circular Mass (kg)]]/Table5[[#This Row],[Total Output Mass (kg)]], "")</f>
        <v/>
      </c>
    </row>
    <row r="342" spans="5:6">
      <c r="E342" s="7">
        <f>IFERROR(Table5[[#This Row],[Circular Feedstock Mass (kg)]]*Table5[[#This Row],[Process Yield (%)]], " ")</f>
        <v>0</v>
      </c>
      <c r="F342" s="2" t="str">
        <f>IFERROR(Table5[[#This Row],[Net Circular Mass (kg)]]/Table5[[#This Row],[Total Output Mass (kg)]], "")</f>
        <v/>
      </c>
    </row>
    <row r="343" spans="5:6">
      <c r="E343" s="7">
        <f>IFERROR(Table5[[#This Row],[Circular Feedstock Mass (kg)]]*Table5[[#This Row],[Process Yield (%)]], " ")</f>
        <v>0</v>
      </c>
      <c r="F343" s="2" t="str">
        <f>IFERROR(Table5[[#This Row],[Net Circular Mass (kg)]]/Table5[[#This Row],[Total Output Mass (kg)]], "")</f>
        <v/>
      </c>
    </row>
    <row r="344" spans="5:6">
      <c r="E344" s="7">
        <f>IFERROR(Table5[[#This Row],[Circular Feedstock Mass (kg)]]*Table5[[#This Row],[Process Yield (%)]], " ")</f>
        <v>0</v>
      </c>
      <c r="F344" s="2" t="str">
        <f>IFERROR(Table5[[#This Row],[Net Circular Mass (kg)]]/Table5[[#This Row],[Total Output Mass (kg)]], "")</f>
        <v/>
      </c>
    </row>
    <row r="345" spans="5:6">
      <c r="E345" s="7">
        <f>IFERROR(Table5[[#This Row],[Circular Feedstock Mass (kg)]]*Table5[[#This Row],[Process Yield (%)]], " ")</f>
        <v>0</v>
      </c>
      <c r="F345" s="2" t="str">
        <f>IFERROR(Table5[[#This Row],[Net Circular Mass (kg)]]/Table5[[#This Row],[Total Output Mass (kg)]], "")</f>
        <v/>
      </c>
    </row>
    <row r="346" spans="5:6">
      <c r="E346" s="7">
        <f>IFERROR(Table5[[#This Row],[Circular Feedstock Mass (kg)]]*Table5[[#This Row],[Process Yield (%)]], " ")</f>
        <v>0</v>
      </c>
      <c r="F346" s="2" t="str">
        <f>IFERROR(Table5[[#This Row],[Net Circular Mass (kg)]]/Table5[[#This Row],[Total Output Mass (kg)]], "")</f>
        <v/>
      </c>
    </row>
    <row r="347" spans="5:6">
      <c r="E347" s="7">
        <f>IFERROR(Table5[[#This Row],[Circular Feedstock Mass (kg)]]*Table5[[#This Row],[Process Yield (%)]], " ")</f>
        <v>0</v>
      </c>
      <c r="F347" s="2" t="str">
        <f>IFERROR(Table5[[#This Row],[Net Circular Mass (kg)]]/Table5[[#This Row],[Total Output Mass (kg)]], "")</f>
        <v/>
      </c>
    </row>
    <row r="348" spans="5:6">
      <c r="E348" s="7">
        <f>IFERROR(Table5[[#This Row],[Circular Feedstock Mass (kg)]]*Table5[[#This Row],[Process Yield (%)]], " ")</f>
        <v>0</v>
      </c>
      <c r="F348" s="2" t="str">
        <f>IFERROR(Table5[[#This Row],[Net Circular Mass (kg)]]/Table5[[#This Row],[Total Output Mass (kg)]], "")</f>
        <v/>
      </c>
    </row>
    <row r="349" spans="5:6">
      <c r="E349" s="7">
        <f>IFERROR(Table5[[#This Row],[Circular Feedstock Mass (kg)]]*Table5[[#This Row],[Process Yield (%)]], " ")</f>
        <v>0</v>
      </c>
      <c r="F349" s="2" t="str">
        <f>IFERROR(Table5[[#This Row],[Net Circular Mass (kg)]]/Table5[[#This Row],[Total Output Mass (kg)]], "")</f>
        <v/>
      </c>
    </row>
    <row r="350" spans="5:6">
      <c r="E350" s="7">
        <f>IFERROR(Table5[[#This Row],[Circular Feedstock Mass (kg)]]*Table5[[#This Row],[Process Yield (%)]], " ")</f>
        <v>0</v>
      </c>
      <c r="F350" s="2" t="str">
        <f>IFERROR(Table5[[#This Row],[Net Circular Mass (kg)]]/Table5[[#This Row],[Total Output Mass (kg)]], "")</f>
        <v/>
      </c>
    </row>
    <row r="351" spans="5:6">
      <c r="E351" s="7">
        <f>IFERROR(Table5[[#This Row],[Circular Feedstock Mass (kg)]]*Table5[[#This Row],[Process Yield (%)]], " ")</f>
        <v>0</v>
      </c>
      <c r="F351" s="2" t="str">
        <f>IFERROR(Table5[[#This Row],[Net Circular Mass (kg)]]/Table5[[#This Row],[Total Output Mass (kg)]], "")</f>
        <v/>
      </c>
    </row>
    <row r="352" spans="5:6">
      <c r="E352" s="7">
        <f>IFERROR(Table5[[#This Row],[Circular Feedstock Mass (kg)]]*Table5[[#This Row],[Process Yield (%)]], " ")</f>
        <v>0</v>
      </c>
      <c r="F352" s="2" t="str">
        <f>IFERROR(Table5[[#This Row],[Net Circular Mass (kg)]]/Table5[[#This Row],[Total Output Mass (kg)]], "")</f>
        <v/>
      </c>
    </row>
    <row r="353" spans="5:6">
      <c r="E353" s="7">
        <f>IFERROR(Table5[[#This Row],[Circular Feedstock Mass (kg)]]*Table5[[#This Row],[Process Yield (%)]], " ")</f>
        <v>0</v>
      </c>
      <c r="F353" s="2" t="str">
        <f>IFERROR(Table5[[#This Row],[Net Circular Mass (kg)]]/Table5[[#This Row],[Total Output Mass (kg)]], "")</f>
        <v/>
      </c>
    </row>
    <row r="354" spans="5:6">
      <c r="E354" s="7">
        <f>IFERROR(Table5[[#This Row],[Circular Feedstock Mass (kg)]]*Table5[[#This Row],[Process Yield (%)]], " ")</f>
        <v>0</v>
      </c>
      <c r="F354" s="2" t="str">
        <f>IFERROR(Table5[[#This Row],[Net Circular Mass (kg)]]/Table5[[#This Row],[Total Output Mass (kg)]], "")</f>
        <v/>
      </c>
    </row>
    <row r="355" spans="5:6">
      <c r="E355" s="7">
        <f>IFERROR(Table5[[#This Row],[Circular Feedstock Mass (kg)]]*Table5[[#This Row],[Process Yield (%)]], " ")</f>
        <v>0</v>
      </c>
      <c r="F355" s="2" t="str">
        <f>IFERROR(Table5[[#This Row],[Net Circular Mass (kg)]]/Table5[[#This Row],[Total Output Mass (kg)]], "")</f>
        <v/>
      </c>
    </row>
    <row r="356" spans="5:6">
      <c r="E356" s="7">
        <f>IFERROR(Table5[[#This Row],[Circular Feedstock Mass (kg)]]*Table5[[#This Row],[Process Yield (%)]], " ")</f>
        <v>0</v>
      </c>
      <c r="F356" s="2" t="str">
        <f>IFERROR(Table5[[#This Row],[Net Circular Mass (kg)]]/Table5[[#This Row],[Total Output Mass (kg)]], "")</f>
        <v/>
      </c>
    </row>
    <row r="357" spans="5:6">
      <c r="E357" s="7">
        <f>IFERROR(Table5[[#This Row],[Circular Feedstock Mass (kg)]]*Table5[[#This Row],[Process Yield (%)]], " ")</f>
        <v>0</v>
      </c>
      <c r="F357" s="2" t="str">
        <f>IFERROR(Table5[[#This Row],[Net Circular Mass (kg)]]/Table5[[#This Row],[Total Output Mass (kg)]], "")</f>
        <v/>
      </c>
    </row>
    <row r="358" spans="5:6">
      <c r="E358" s="7">
        <f>IFERROR(Table5[[#This Row],[Circular Feedstock Mass (kg)]]*Table5[[#This Row],[Process Yield (%)]], " ")</f>
        <v>0</v>
      </c>
      <c r="F358" s="2" t="str">
        <f>IFERROR(Table5[[#This Row],[Net Circular Mass (kg)]]/Table5[[#This Row],[Total Output Mass (kg)]], "")</f>
        <v/>
      </c>
    </row>
    <row r="359" spans="5:6">
      <c r="E359" s="7">
        <f>IFERROR(Table5[[#This Row],[Circular Feedstock Mass (kg)]]*Table5[[#This Row],[Process Yield (%)]], " ")</f>
        <v>0</v>
      </c>
      <c r="F359" s="2" t="str">
        <f>IFERROR(Table5[[#This Row],[Net Circular Mass (kg)]]/Table5[[#This Row],[Total Output Mass (kg)]], "")</f>
        <v/>
      </c>
    </row>
    <row r="360" spans="5:6">
      <c r="E360" s="7">
        <f>IFERROR(Table5[[#This Row],[Circular Feedstock Mass (kg)]]*Table5[[#This Row],[Process Yield (%)]], " ")</f>
        <v>0</v>
      </c>
      <c r="F360" s="2" t="str">
        <f>IFERROR(Table5[[#This Row],[Net Circular Mass (kg)]]/Table5[[#This Row],[Total Output Mass (kg)]], "")</f>
        <v/>
      </c>
    </row>
    <row r="361" spans="5:6">
      <c r="E361" s="7">
        <f>IFERROR(Table5[[#This Row],[Circular Feedstock Mass (kg)]]*Table5[[#This Row],[Process Yield (%)]], " ")</f>
        <v>0</v>
      </c>
      <c r="F361" s="2" t="str">
        <f>IFERROR(Table5[[#This Row],[Net Circular Mass (kg)]]/Table5[[#This Row],[Total Output Mass (kg)]], "")</f>
        <v/>
      </c>
    </row>
    <row r="362" spans="5:6">
      <c r="E362" s="7">
        <f>IFERROR(Table5[[#This Row],[Circular Feedstock Mass (kg)]]*Table5[[#This Row],[Process Yield (%)]], " ")</f>
        <v>0</v>
      </c>
      <c r="F362" s="2" t="str">
        <f>IFERROR(Table5[[#This Row],[Net Circular Mass (kg)]]/Table5[[#This Row],[Total Output Mass (kg)]], "")</f>
        <v/>
      </c>
    </row>
    <row r="363" spans="5:6">
      <c r="E363" s="7">
        <f>IFERROR(Table5[[#This Row],[Circular Feedstock Mass (kg)]]*Table5[[#This Row],[Process Yield (%)]], " ")</f>
        <v>0</v>
      </c>
      <c r="F363" s="2" t="str">
        <f>IFERROR(Table5[[#This Row],[Net Circular Mass (kg)]]/Table5[[#This Row],[Total Output Mass (kg)]], "")</f>
        <v/>
      </c>
    </row>
    <row r="364" spans="5:6">
      <c r="E364" s="7">
        <f>IFERROR(Table5[[#This Row],[Circular Feedstock Mass (kg)]]*Table5[[#This Row],[Process Yield (%)]], " ")</f>
        <v>0</v>
      </c>
      <c r="F364" s="2" t="str">
        <f>IFERROR(Table5[[#This Row],[Net Circular Mass (kg)]]/Table5[[#This Row],[Total Output Mass (kg)]], "")</f>
        <v/>
      </c>
    </row>
    <row r="365" spans="5:6">
      <c r="E365" s="7">
        <f>IFERROR(Table5[[#This Row],[Circular Feedstock Mass (kg)]]*Table5[[#This Row],[Process Yield (%)]], " ")</f>
        <v>0</v>
      </c>
      <c r="F365" s="2" t="str">
        <f>IFERROR(Table5[[#This Row],[Net Circular Mass (kg)]]/Table5[[#This Row],[Total Output Mass (kg)]], "")</f>
        <v/>
      </c>
    </row>
    <row r="366" spans="5:6">
      <c r="E366" s="7">
        <f>IFERROR(Table5[[#This Row],[Circular Feedstock Mass (kg)]]*Table5[[#This Row],[Process Yield (%)]], " ")</f>
        <v>0</v>
      </c>
      <c r="F366" s="2" t="str">
        <f>IFERROR(Table5[[#This Row],[Net Circular Mass (kg)]]/Table5[[#This Row],[Total Output Mass (kg)]], "")</f>
        <v/>
      </c>
    </row>
    <row r="367" spans="5:6">
      <c r="E367" s="7">
        <f>IFERROR(Table5[[#This Row],[Circular Feedstock Mass (kg)]]*Table5[[#This Row],[Process Yield (%)]], " ")</f>
        <v>0</v>
      </c>
      <c r="F367" s="2" t="str">
        <f>IFERROR(Table5[[#This Row],[Net Circular Mass (kg)]]/Table5[[#This Row],[Total Output Mass (kg)]], "")</f>
        <v/>
      </c>
    </row>
    <row r="368" spans="5:6">
      <c r="E368" s="7">
        <f>IFERROR(Table5[[#This Row],[Circular Feedstock Mass (kg)]]*Table5[[#This Row],[Process Yield (%)]], " ")</f>
        <v>0</v>
      </c>
      <c r="F368" s="2" t="str">
        <f>IFERROR(Table5[[#This Row],[Net Circular Mass (kg)]]/Table5[[#This Row],[Total Output Mass (kg)]], "")</f>
        <v/>
      </c>
    </row>
    <row r="369" spans="5:6">
      <c r="E369" s="7">
        <f>IFERROR(Table5[[#This Row],[Circular Feedstock Mass (kg)]]*Table5[[#This Row],[Process Yield (%)]], " ")</f>
        <v>0</v>
      </c>
      <c r="F369" s="2" t="str">
        <f>IFERROR(Table5[[#This Row],[Net Circular Mass (kg)]]/Table5[[#This Row],[Total Output Mass (kg)]], "")</f>
        <v/>
      </c>
    </row>
    <row r="370" spans="5:6">
      <c r="E370" s="7">
        <f>IFERROR(Table5[[#This Row],[Circular Feedstock Mass (kg)]]*Table5[[#This Row],[Process Yield (%)]], " ")</f>
        <v>0</v>
      </c>
      <c r="F370" s="2" t="str">
        <f>IFERROR(Table5[[#This Row],[Net Circular Mass (kg)]]/Table5[[#This Row],[Total Output Mass (kg)]], "")</f>
        <v/>
      </c>
    </row>
    <row r="371" spans="5:6">
      <c r="E371" s="7">
        <f>IFERROR(Table5[[#This Row],[Circular Feedstock Mass (kg)]]*Table5[[#This Row],[Process Yield (%)]], " ")</f>
        <v>0</v>
      </c>
      <c r="F371" s="2" t="str">
        <f>IFERROR(Table5[[#This Row],[Net Circular Mass (kg)]]/Table5[[#This Row],[Total Output Mass (kg)]], "")</f>
        <v/>
      </c>
    </row>
    <row r="372" spans="5:6">
      <c r="E372" s="7">
        <f>IFERROR(Table5[[#This Row],[Circular Feedstock Mass (kg)]]*Table5[[#This Row],[Process Yield (%)]], " ")</f>
        <v>0</v>
      </c>
      <c r="F372" s="2" t="str">
        <f>IFERROR(Table5[[#This Row],[Net Circular Mass (kg)]]/Table5[[#This Row],[Total Output Mass (kg)]], "")</f>
        <v/>
      </c>
    </row>
    <row r="373" spans="5:6">
      <c r="E373" s="7">
        <f>IFERROR(Table5[[#This Row],[Circular Feedstock Mass (kg)]]*Table5[[#This Row],[Process Yield (%)]], " ")</f>
        <v>0</v>
      </c>
      <c r="F373" s="2" t="str">
        <f>IFERROR(Table5[[#This Row],[Net Circular Mass (kg)]]/Table5[[#This Row],[Total Output Mass (kg)]], "")</f>
        <v/>
      </c>
    </row>
    <row r="374" spans="5:6">
      <c r="E374" s="7">
        <f>IFERROR(Table5[[#This Row],[Circular Feedstock Mass (kg)]]*Table5[[#This Row],[Process Yield (%)]], " ")</f>
        <v>0</v>
      </c>
      <c r="F374" s="2" t="str">
        <f>IFERROR(Table5[[#This Row],[Net Circular Mass (kg)]]/Table5[[#This Row],[Total Output Mass (kg)]], "")</f>
        <v/>
      </c>
    </row>
    <row r="375" spans="5:6">
      <c r="E375" s="7">
        <f>IFERROR(Table5[[#This Row],[Circular Feedstock Mass (kg)]]*Table5[[#This Row],[Process Yield (%)]], " ")</f>
        <v>0</v>
      </c>
      <c r="F375" s="2" t="str">
        <f>IFERROR(Table5[[#This Row],[Net Circular Mass (kg)]]/Table5[[#This Row],[Total Output Mass (kg)]], "")</f>
        <v/>
      </c>
    </row>
    <row r="376" spans="5:6">
      <c r="E376" s="7">
        <f>IFERROR(Table5[[#This Row],[Circular Feedstock Mass (kg)]]*Table5[[#This Row],[Process Yield (%)]], " ")</f>
        <v>0</v>
      </c>
      <c r="F376" s="2" t="str">
        <f>IFERROR(Table5[[#This Row],[Net Circular Mass (kg)]]/Table5[[#This Row],[Total Output Mass (kg)]], "")</f>
        <v/>
      </c>
    </row>
    <row r="377" spans="5:6">
      <c r="E377" s="7">
        <f>IFERROR(Table5[[#This Row],[Circular Feedstock Mass (kg)]]*Table5[[#This Row],[Process Yield (%)]], " ")</f>
        <v>0</v>
      </c>
      <c r="F377" s="2" t="str">
        <f>IFERROR(Table5[[#This Row],[Net Circular Mass (kg)]]/Table5[[#This Row],[Total Output Mass (kg)]], "")</f>
        <v/>
      </c>
    </row>
    <row r="378" spans="5:6">
      <c r="E378" s="7">
        <f>IFERROR(Table5[[#This Row],[Circular Feedstock Mass (kg)]]*Table5[[#This Row],[Process Yield (%)]], " ")</f>
        <v>0</v>
      </c>
      <c r="F378" s="2" t="str">
        <f>IFERROR(Table5[[#This Row],[Net Circular Mass (kg)]]/Table5[[#This Row],[Total Output Mass (kg)]], "")</f>
        <v/>
      </c>
    </row>
    <row r="379" spans="5:6">
      <c r="E379" s="7">
        <f>IFERROR(Table5[[#This Row],[Circular Feedstock Mass (kg)]]*Table5[[#This Row],[Process Yield (%)]], " ")</f>
        <v>0</v>
      </c>
      <c r="F379" s="2" t="str">
        <f>IFERROR(Table5[[#This Row],[Net Circular Mass (kg)]]/Table5[[#This Row],[Total Output Mass (kg)]], "")</f>
        <v/>
      </c>
    </row>
    <row r="380" spans="5:6">
      <c r="E380" s="7">
        <f>IFERROR(Table5[[#This Row],[Circular Feedstock Mass (kg)]]*Table5[[#This Row],[Process Yield (%)]], " ")</f>
        <v>0</v>
      </c>
      <c r="F380" s="2" t="str">
        <f>IFERROR(Table5[[#This Row],[Net Circular Mass (kg)]]/Table5[[#This Row],[Total Output Mass (kg)]], "")</f>
        <v/>
      </c>
    </row>
    <row r="381" spans="5:6">
      <c r="E381" s="7">
        <f>IFERROR(Table5[[#This Row],[Circular Feedstock Mass (kg)]]*Table5[[#This Row],[Process Yield (%)]], " ")</f>
        <v>0</v>
      </c>
      <c r="F381" s="2" t="str">
        <f>IFERROR(Table5[[#This Row],[Net Circular Mass (kg)]]/Table5[[#This Row],[Total Output Mass (kg)]], "")</f>
        <v/>
      </c>
    </row>
    <row r="382" spans="5:6">
      <c r="E382" s="7">
        <f>IFERROR(Table5[[#This Row],[Circular Feedstock Mass (kg)]]*Table5[[#This Row],[Process Yield (%)]], " ")</f>
        <v>0</v>
      </c>
      <c r="F382" s="2" t="str">
        <f>IFERROR(Table5[[#This Row],[Net Circular Mass (kg)]]/Table5[[#This Row],[Total Output Mass (kg)]], "")</f>
        <v/>
      </c>
    </row>
    <row r="383" spans="5:6">
      <c r="E383" s="7">
        <f>IFERROR(Table5[[#This Row],[Circular Feedstock Mass (kg)]]*Table5[[#This Row],[Process Yield (%)]], " ")</f>
        <v>0</v>
      </c>
      <c r="F383" s="2" t="str">
        <f>IFERROR(Table5[[#This Row],[Net Circular Mass (kg)]]/Table5[[#This Row],[Total Output Mass (kg)]], "")</f>
        <v/>
      </c>
    </row>
    <row r="384" spans="5:6">
      <c r="E384" s="7">
        <f>IFERROR(Table5[[#This Row],[Circular Feedstock Mass (kg)]]*Table5[[#This Row],[Process Yield (%)]], " ")</f>
        <v>0</v>
      </c>
      <c r="F384" s="2" t="str">
        <f>IFERROR(Table5[[#This Row],[Net Circular Mass (kg)]]/Table5[[#This Row],[Total Output Mass (kg)]], "")</f>
        <v/>
      </c>
    </row>
    <row r="385" spans="5:6">
      <c r="E385" s="7">
        <f>IFERROR(Table5[[#This Row],[Circular Feedstock Mass (kg)]]*Table5[[#This Row],[Process Yield (%)]], " ")</f>
        <v>0</v>
      </c>
      <c r="F385" s="2" t="str">
        <f>IFERROR(Table5[[#This Row],[Net Circular Mass (kg)]]/Table5[[#This Row],[Total Output Mass (kg)]], "")</f>
        <v/>
      </c>
    </row>
    <row r="386" spans="5:6">
      <c r="E386" s="7">
        <f>IFERROR(Table5[[#This Row],[Circular Feedstock Mass (kg)]]*Table5[[#This Row],[Process Yield (%)]], " ")</f>
        <v>0</v>
      </c>
      <c r="F386" s="2" t="str">
        <f>IFERROR(Table5[[#This Row],[Net Circular Mass (kg)]]/Table5[[#This Row],[Total Output Mass (kg)]], "")</f>
        <v/>
      </c>
    </row>
    <row r="387" spans="5:6">
      <c r="E387" s="7">
        <f>IFERROR(Table5[[#This Row],[Circular Feedstock Mass (kg)]]*Table5[[#This Row],[Process Yield (%)]], " ")</f>
        <v>0</v>
      </c>
      <c r="F387" s="2" t="str">
        <f>IFERROR(Table5[[#This Row],[Net Circular Mass (kg)]]/Table5[[#This Row],[Total Output Mass (kg)]], "")</f>
        <v/>
      </c>
    </row>
    <row r="388" spans="5:6">
      <c r="E388" s="7">
        <f>IFERROR(Table5[[#This Row],[Circular Feedstock Mass (kg)]]*Table5[[#This Row],[Process Yield (%)]], " ")</f>
        <v>0</v>
      </c>
      <c r="F388" s="2" t="str">
        <f>IFERROR(Table5[[#This Row],[Net Circular Mass (kg)]]/Table5[[#This Row],[Total Output Mass (kg)]], "")</f>
        <v/>
      </c>
    </row>
    <row r="389" spans="5:6">
      <c r="E389" s="7">
        <f>IFERROR(Table5[[#This Row],[Circular Feedstock Mass (kg)]]*Table5[[#This Row],[Process Yield (%)]], " ")</f>
        <v>0</v>
      </c>
      <c r="F389" s="2" t="str">
        <f>IFERROR(Table5[[#This Row],[Net Circular Mass (kg)]]/Table5[[#This Row],[Total Output Mass (kg)]], "")</f>
        <v/>
      </c>
    </row>
    <row r="390" spans="5:6">
      <c r="E390" s="7">
        <f>IFERROR(Table5[[#This Row],[Circular Feedstock Mass (kg)]]*Table5[[#This Row],[Process Yield (%)]], " ")</f>
        <v>0</v>
      </c>
      <c r="F390" s="2" t="str">
        <f>IFERROR(Table5[[#This Row],[Net Circular Mass (kg)]]/Table5[[#This Row],[Total Output Mass (kg)]], "")</f>
        <v/>
      </c>
    </row>
    <row r="391" spans="5:6">
      <c r="E391" s="7">
        <f>IFERROR(Table5[[#This Row],[Circular Feedstock Mass (kg)]]*Table5[[#This Row],[Process Yield (%)]], " ")</f>
        <v>0</v>
      </c>
      <c r="F391" s="2" t="str">
        <f>IFERROR(Table5[[#This Row],[Net Circular Mass (kg)]]/Table5[[#This Row],[Total Output Mass (kg)]], "")</f>
        <v/>
      </c>
    </row>
    <row r="392" spans="5:6">
      <c r="E392" s="7">
        <f>IFERROR(Table5[[#This Row],[Circular Feedstock Mass (kg)]]*Table5[[#This Row],[Process Yield (%)]], " ")</f>
        <v>0</v>
      </c>
      <c r="F392" s="2" t="str">
        <f>IFERROR(Table5[[#This Row],[Net Circular Mass (kg)]]/Table5[[#This Row],[Total Output Mass (kg)]], "")</f>
        <v/>
      </c>
    </row>
    <row r="393" spans="5:6">
      <c r="E393" s="7">
        <f>IFERROR(Table5[[#This Row],[Circular Feedstock Mass (kg)]]*Table5[[#This Row],[Process Yield (%)]], " ")</f>
        <v>0</v>
      </c>
      <c r="F393" s="2" t="str">
        <f>IFERROR(Table5[[#This Row],[Net Circular Mass (kg)]]/Table5[[#This Row],[Total Output Mass (kg)]], "")</f>
        <v/>
      </c>
    </row>
    <row r="394" spans="5:6">
      <c r="E394" s="7">
        <f>IFERROR(Table5[[#This Row],[Circular Feedstock Mass (kg)]]*Table5[[#This Row],[Process Yield (%)]], " ")</f>
        <v>0</v>
      </c>
      <c r="F394" s="2" t="str">
        <f>IFERROR(Table5[[#This Row],[Net Circular Mass (kg)]]/Table5[[#This Row],[Total Output Mass (kg)]], "")</f>
        <v/>
      </c>
    </row>
    <row r="395" spans="5:6">
      <c r="E395" s="7">
        <f>IFERROR(Table5[[#This Row],[Circular Feedstock Mass (kg)]]*Table5[[#This Row],[Process Yield (%)]], " ")</f>
        <v>0</v>
      </c>
      <c r="F395" s="2" t="str">
        <f>IFERROR(Table5[[#This Row],[Net Circular Mass (kg)]]/Table5[[#This Row],[Total Output Mass (kg)]], "")</f>
        <v/>
      </c>
    </row>
    <row r="396" spans="5:6">
      <c r="E396" s="7">
        <f>IFERROR(Table5[[#This Row],[Circular Feedstock Mass (kg)]]*Table5[[#This Row],[Process Yield (%)]], " ")</f>
        <v>0</v>
      </c>
      <c r="F396" s="2" t="str">
        <f>IFERROR(Table5[[#This Row],[Net Circular Mass (kg)]]/Table5[[#This Row],[Total Output Mass (kg)]], "")</f>
        <v/>
      </c>
    </row>
    <row r="397" spans="5:6">
      <c r="E397" s="7">
        <f>IFERROR(Table5[[#This Row],[Circular Feedstock Mass (kg)]]*Table5[[#This Row],[Process Yield (%)]], " ")</f>
        <v>0</v>
      </c>
      <c r="F397" s="2" t="str">
        <f>IFERROR(Table5[[#This Row],[Net Circular Mass (kg)]]/Table5[[#This Row],[Total Output Mass (kg)]], "")</f>
        <v/>
      </c>
    </row>
    <row r="398" spans="5:6">
      <c r="E398" s="7">
        <f>IFERROR(Table5[[#This Row],[Circular Feedstock Mass (kg)]]*Table5[[#This Row],[Process Yield (%)]], " ")</f>
        <v>0</v>
      </c>
      <c r="F398" s="2" t="str">
        <f>IFERROR(Table5[[#This Row],[Net Circular Mass (kg)]]/Table5[[#This Row],[Total Output Mass (kg)]], "")</f>
        <v/>
      </c>
    </row>
    <row r="399" spans="5:6">
      <c r="E399" s="7">
        <f>IFERROR(Table5[[#This Row],[Circular Feedstock Mass (kg)]]*Table5[[#This Row],[Process Yield (%)]], " ")</f>
        <v>0</v>
      </c>
      <c r="F399" s="2" t="str">
        <f>IFERROR(Table5[[#This Row],[Net Circular Mass (kg)]]/Table5[[#This Row],[Total Output Mass (kg)]], "")</f>
        <v/>
      </c>
    </row>
    <row r="400" spans="5:6">
      <c r="E400" s="7">
        <f>IFERROR(Table5[[#This Row],[Circular Feedstock Mass (kg)]]*Table5[[#This Row],[Process Yield (%)]], " ")</f>
        <v>0</v>
      </c>
      <c r="F400" s="2" t="str">
        <f>IFERROR(Table5[[#This Row],[Net Circular Mass (kg)]]/Table5[[#This Row],[Total Output Mass (kg)]], "")</f>
        <v/>
      </c>
    </row>
    <row r="401" spans="5:6">
      <c r="E401" s="7">
        <f>IFERROR(Table5[[#This Row],[Circular Feedstock Mass (kg)]]*Table5[[#This Row],[Process Yield (%)]], " ")</f>
        <v>0</v>
      </c>
      <c r="F401" s="2" t="str">
        <f>IFERROR(Table5[[#This Row],[Net Circular Mass (kg)]]/Table5[[#This Row],[Total Output Mass (kg)]], "")</f>
        <v/>
      </c>
    </row>
    <row r="402" spans="5:6">
      <c r="E402" s="7">
        <f>IFERROR(Table5[[#This Row],[Circular Feedstock Mass (kg)]]*Table5[[#This Row],[Process Yield (%)]], " ")</f>
        <v>0</v>
      </c>
      <c r="F402" s="2" t="str">
        <f>IFERROR(Table5[[#This Row],[Net Circular Mass (kg)]]/Table5[[#This Row],[Total Output Mass (kg)]], "")</f>
        <v/>
      </c>
    </row>
    <row r="403" spans="5:6">
      <c r="E403" s="7">
        <f>IFERROR(Table5[[#This Row],[Circular Feedstock Mass (kg)]]*Table5[[#This Row],[Process Yield (%)]], " ")</f>
        <v>0</v>
      </c>
      <c r="F403" s="2" t="str">
        <f>IFERROR(Table5[[#This Row],[Net Circular Mass (kg)]]/Table5[[#This Row],[Total Output Mass (kg)]], "")</f>
        <v/>
      </c>
    </row>
    <row r="404" spans="5:6">
      <c r="E404" s="7">
        <f>IFERROR(Table5[[#This Row],[Circular Feedstock Mass (kg)]]*Table5[[#This Row],[Process Yield (%)]], " ")</f>
        <v>0</v>
      </c>
      <c r="F404" s="2" t="str">
        <f>IFERROR(Table5[[#This Row],[Net Circular Mass (kg)]]/Table5[[#This Row],[Total Output Mass (kg)]], "")</f>
        <v/>
      </c>
    </row>
    <row r="405" spans="5:6">
      <c r="E405" s="7">
        <f>IFERROR(Table5[[#This Row],[Circular Feedstock Mass (kg)]]*Table5[[#This Row],[Process Yield (%)]], " ")</f>
        <v>0</v>
      </c>
      <c r="F405" s="2" t="str">
        <f>IFERROR(Table5[[#This Row],[Net Circular Mass (kg)]]/Table5[[#This Row],[Total Output Mass (kg)]], "")</f>
        <v/>
      </c>
    </row>
    <row r="406" spans="5:6">
      <c r="E406" s="7">
        <f>IFERROR(Table5[[#This Row],[Circular Feedstock Mass (kg)]]*Table5[[#This Row],[Process Yield (%)]], " ")</f>
        <v>0</v>
      </c>
      <c r="F406" s="2" t="str">
        <f>IFERROR(Table5[[#This Row],[Net Circular Mass (kg)]]/Table5[[#This Row],[Total Output Mass (kg)]], "")</f>
        <v/>
      </c>
    </row>
    <row r="407" spans="5:6">
      <c r="E407" s="7">
        <f>IFERROR(Table5[[#This Row],[Circular Feedstock Mass (kg)]]*Table5[[#This Row],[Process Yield (%)]], " ")</f>
        <v>0</v>
      </c>
      <c r="F407" s="2" t="str">
        <f>IFERROR(Table5[[#This Row],[Net Circular Mass (kg)]]/Table5[[#This Row],[Total Output Mass (kg)]], "")</f>
        <v/>
      </c>
    </row>
    <row r="408" spans="5:6">
      <c r="E408" s="7">
        <f>IFERROR(Table5[[#This Row],[Circular Feedstock Mass (kg)]]*Table5[[#This Row],[Process Yield (%)]], " ")</f>
        <v>0</v>
      </c>
      <c r="F408" s="2" t="str">
        <f>IFERROR(Table5[[#This Row],[Net Circular Mass (kg)]]/Table5[[#This Row],[Total Output Mass (kg)]], "")</f>
        <v/>
      </c>
    </row>
    <row r="409" spans="5:6">
      <c r="E409" s="7">
        <f>IFERROR(Table5[[#This Row],[Circular Feedstock Mass (kg)]]*Table5[[#This Row],[Process Yield (%)]], " ")</f>
        <v>0</v>
      </c>
      <c r="F409" s="2" t="str">
        <f>IFERROR(Table5[[#This Row],[Net Circular Mass (kg)]]/Table5[[#This Row],[Total Output Mass (kg)]], "")</f>
        <v/>
      </c>
    </row>
    <row r="410" spans="5:6">
      <c r="E410" s="7">
        <f>IFERROR(Table5[[#This Row],[Circular Feedstock Mass (kg)]]*Table5[[#This Row],[Process Yield (%)]], " ")</f>
        <v>0</v>
      </c>
      <c r="F410" s="2" t="str">
        <f>IFERROR(Table5[[#This Row],[Net Circular Mass (kg)]]/Table5[[#This Row],[Total Output Mass (kg)]], "")</f>
        <v/>
      </c>
    </row>
    <row r="411" spans="5:6">
      <c r="E411" s="7">
        <f>IFERROR(Table5[[#This Row],[Circular Feedstock Mass (kg)]]*Table5[[#This Row],[Process Yield (%)]], " ")</f>
        <v>0</v>
      </c>
      <c r="F411" s="2" t="str">
        <f>IFERROR(Table5[[#This Row],[Net Circular Mass (kg)]]/Table5[[#This Row],[Total Output Mass (kg)]], "")</f>
        <v/>
      </c>
    </row>
    <row r="412" spans="5:6">
      <c r="E412" s="7">
        <f>IFERROR(Table5[[#This Row],[Circular Feedstock Mass (kg)]]*Table5[[#This Row],[Process Yield (%)]], " ")</f>
        <v>0</v>
      </c>
      <c r="F412" s="2" t="str">
        <f>IFERROR(Table5[[#This Row],[Net Circular Mass (kg)]]/Table5[[#This Row],[Total Output Mass (kg)]], "")</f>
        <v/>
      </c>
    </row>
    <row r="413" spans="5:6">
      <c r="E413" s="7">
        <f>IFERROR(Table5[[#This Row],[Circular Feedstock Mass (kg)]]*Table5[[#This Row],[Process Yield (%)]], " ")</f>
        <v>0</v>
      </c>
      <c r="F413" s="2" t="str">
        <f>IFERROR(Table5[[#This Row],[Net Circular Mass (kg)]]/Table5[[#This Row],[Total Output Mass (kg)]], "")</f>
        <v/>
      </c>
    </row>
    <row r="414" spans="5:6">
      <c r="E414" s="7">
        <f>IFERROR(Table5[[#This Row],[Circular Feedstock Mass (kg)]]*Table5[[#This Row],[Process Yield (%)]], " ")</f>
        <v>0</v>
      </c>
      <c r="F414" s="2" t="str">
        <f>IFERROR(Table5[[#This Row],[Net Circular Mass (kg)]]/Table5[[#This Row],[Total Output Mass (kg)]], "")</f>
        <v/>
      </c>
    </row>
    <row r="415" spans="5:6">
      <c r="E415" s="7">
        <f>IFERROR(Table5[[#This Row],[Circular Feedstock Mass (kg)]]*Table5[[#This Row],[Process Yield (%)]], " ")</f>
        <v>0</v>
      </c>
      <c r="F415" s="2" t="str">
        <f>IFERROR(Table5[[#This Row],[Net Circular Mass (kg)]]/Table5[[#This Row],[Total Output Mass (kg)]], "")</f>
        <v/>
      </c>
    </row>
    <row r="416" spans="5:6">
      <c r="E416" s="7">
        <f>IFERROR(Table5[[#This Row],[Circular Feedstock Mass (kg)]]*Table5[[#This Row],[Process Yield (%)]], " ")</f>
        <v>0</v>
      </c>
      <c r="F416" s="2" t="str">
        <f>IFERROR(Table5[[#This Row],[Net Circular Mass (kg)]]/Table5[[#This Row],[Total Output Mass (kg)]], "")</f>
        <v/>
      </c>
    </row>
    <row r="417" spans="5:6">
      <c r="E417" s="7">
        <f>IFERROR(Table5[[#This Row],[Circular Feedstock Mass (kg)]]*Table5[[#This Row],[Process Yield (%)]], " ")</f>
        <v>0</v>
      </c>
      <c r="F417" s="2" t="str">
        <f>IFERROR(Table5[[#This Row],[Net Circular Mass (kg)]]/Table5[[#This Row],[Total Output Mass (kg)]], "")</f>
        <v/>
      </c>
    </row>
    <row r="418" spans="5:6">
      <c r="E418" s="7">
        <f>IFERROR(Table5[[#This Row],[Circular Feedstock Mass (kg)]]*Table5[[#This Row],[Process Yield (%)]], " ")</f>
        <v>0</v>
      </c>
      <c r="F418" s="2" t="str">
        <f>IFERROR(Table5[[#This Row],[Net Circular Mass (kg)]]/Table5[[#This Row],[Total Output Mass (kg)]], "")</f>
        <v/>
      </c>
    </row>
    <row r="419" spans="5:6">
      <c r="E419" s="7">
        <f>IFERROR(Table5[[#This Row],[Circular Feedstock Mass (kg)]]*Table5[[#This Row],[Process Yield (%)]], " ")</f>
        <v>0</v>
      </c>
      <c r="F419" s="2" t="str">
        <f>IFERROR(Table5[[#This Row],[Net Circular Mass (kg)]]/Table5[[#This Row],[Total Output Mass (kg)]], "")</f>
        <v/>
      </c>
    </row>
    <row r="420" spans="5:6">
      <c r="E420" s="7">
        <f>IFERROR(Table5[[#This Row],[Circular Feedstock Mass (kg)]]*Table5[[#This Row],[Process Yield (%)]], " ")</f>
        <v>0</v>
      </c>
      <c r="F420" s="2" t="str">
        <f>IFERROR(Table5[[#This Row],[Net Circular Mass (kg)]]/Table5[[#This Row],[Total Output Mass (kg)]], "")</f>
        <v/>
      </c>
    </row>
    <row r="421" spans="5:6">
      <c r="E421" s="7">
        <f>IFERROR(Table5[[#This Row],[Circular Feedstock Mass (kg)]]*Table5[[#This Row],[Process Yield (%)]], " ")</f>
        <v>0</v>
      </c>
      <c r="F421" s="2" t="str">
        <f>IFERROR(Table5[[#This Row],[Net Circular Mass (kg)]]/Table5[[#This Row],[Total Output Mass (kg)]], "")</f>
        <v/>
      </c>
    </row>
    <row r="422" spans="5:6">
      <c r="E422" s="7">
        <f>IFERROR(Table5[[#This Row],[Circular Feedstock Mass (kg)]]*Table5[[#This Row],[Process Yield (%)]], " ")</f>
        <v>0</v>
      </c>
      <c r="F422" s="2" t="str">
        <f>IFERROR(Table5[[#This Row],[Net Circular Mass (kg)]]/Table5[[#This Row],[Total Output Mass (kg)]], "")</f>
        <v/>
      </c>
    </row>
    <row r="423" spans="5:6">
      <c r="E423" s="7">
        <f>IFERROR(Table5[[#This Row],[Circular Feedstock Mass (kg)]]*Table5[[#This Row],[Process Yield (%)]], " ")</f>
        <v>0</v>
      </c>
      <c r="F423" s="2" t="str">
        <f>IFERROR(Table5[[#This Row],[Net Circular Mass (kg)]]/Table5[[#This Row],[Total Output Mass (kg)]], "")</f>
        <v/>
      </c>
    </row>
    <row r="424" spans="5:6">
      <c r="E424" s="7">
        <f>IFERROR(Table5[[#This Row],[Circular Feedstock Mass (kg)]]*Table5[[#This Row],[Process Yield (%)]], " ")</f>
        <v>0</v>
      </c>
      <c r="F424" s="2" t="str">
        <f>IFERROR(Table5[[#This Row],[Net Circular Mass (kg)]]/Table5[[#This Row],[Total Output Mass (kg)]], "")</f>
        <v/>
      </c>
    </row>
    <row r="425" spans="5:6">
      <c r="E425" s="7">
        <f>IFERROR(Table5[[#This Row],[Circular Feedstock Mass (kg)]]*Table5[[#This Row],[Process Yield (%)]], " ")</f>
        <v>0</v>
      </c>
      <c r="F425" s="2" t="str">
        <f>IFERROR(Table5[[#This Row],[Net Circular Mass (kg)]]/Table5[[#This Row],[Total Output Mass (kg)]], "")</f>
        <v/>
      </c>
    </row>
    <row r="426" spans="5:6">
      <c r="E426" s="7">
        <f>IFERROR(Table5[[#This Row],[Circular Feedstock Mass (kg)]]*Table5[[#This Row],[Process Yield (%)]], " ")</f>
        <v>0</v>
      </c>
      <c r="F426" s="2" t="str">
        <f>IFERROR(Table5[[#This Row],[Net Circular Mass (kg)]]/Table5[[#This Row],[Total Output Mass (kg)]], "")</f>
        <v/>
      </c>
    </row>
    <row r="427" spans="5:6">
      <c r="E427" s="7">
        <f>IFERROR(Table5[[#This Row],[Circular Feedstock Mass (kg)]]*Table5[[#This Row],[Process Yield (%)]], " ")</f>
        <v>0</v>
      </c>
      <c r="F427" s="2" t="str">
        <f>IFERROR(Table5[[#This Row],[Net Circular Mass (kg)]]/Table5[[#This Row],[Total Output Mass (kg)]], "")</f>
        <v/>
      </c>
    </row>
    <row r="428" spans="5:6">
      <c r="E428" s="7">
        <f>IFERROR(Table5[[#This Row],[Circular Feedstock Mass (kg)]]*Table5[[#This Row],[Process Yield (%)]], " ")</f>
        <v>0</v>
      </c>
      <c r="F428" s="2" t="str">
        <f>IFERROR(Table5[[#This Row],[Net Circular Mass (kg)]]/Table5[[#This Row],[Total Output Mass (kg)]], "")</f>
        <v/>
      </c>
    </row>
    <row r="429" spans="5:6">
      <c r="E429" s="7">
        <f>IFERROR(Table5[[#This Row],[Circular Feedstock Mass (kg)]]*Table5[[#This Row],[Process Yield (%)]], " ")</f>
        <v>0</v>
      </c>
      <c r="F429" s="2" t="str">
        <f>IFERROR(Table5[[#This Row],[Net Circular Mass (kg)]]/Table5[[#This Row],[Total Output Mass (kg)]], "")</f>
        <v/>
      </c>
    </row>
    <row r="430" spans="5:6">
      <c r="E430" s="7">
        <f>IFERROR(Table5[[#This Row],[Circular Feedstock Mass (kg)]]*Table5[[#This Row],[Process Yield (%)]], " ")</f>
        <v>0</v>
      </c>
      <c r="F430" s="2" t="str">
        <f>IFERROR(Table5[[#This Row],[Net Circular Mass (kg)]]/Table5[[#This Row],[Total Output Mass (kg)]], "")</f>
        <v/>
      </c>
    </row>
    <row r="431" spans="5:6">
      <c r="E431" s="7">
        <f>IFERROR(Table5[[#This Row],[Circular Feedstock Mass (kg)]]*Table5[[#This Row],[Process Yield (%)]], " ")</f>
        <v>0</v>
      </c>
      <c r="F431" s="2" t="str">
        <f>IFERROR(Table5[[#This Row],[Net Circular Mass (kg)]]/Table5[[#This Row],[Total Output Mass (kg)]], "")</f>
        <v/>
      </c>
    </row>
    <row r="432" spans="5:6">
      <c r="E432" s="7">
        <f>IFERROR(Table5[[#This Row],[Circular Feedstock Mass (kg)]]*Table5[[#This Row],[Process Yield (%)]], " ")</f>
        <v>0</v>
      </c>
      <c r="F432" s="2" t="str">
        <f>IFERROR(Table5[[#This Row],[Net Circular Mass (kg)]]/Table5[[#This Row],[Total Output Mass (kg)]], "")</f>
        <v/>
      </c>
    </row>
    <row r="433" spans="5:6">
      <c r="E433" s="7">
        <f>IFERROR(Table5[[#This Row],[Circular Feedstock Mass (kg)]]*Table5[[#This Row],[Process Yield (%)]], " ")</f>
        <v>0</v>
      </c>
      <c r="F433" s="2" t="str">
        <f>IFERROR(Table5[[#This Row],[Net Circular Mass (kg)]]/Table5[[#This Row],[Total Output Mass (kg)]], "")</f>
        <v/>
      </c>
    </row>
    <row r="434" spans="5:6">
      <c r="E434" s="7">
        <f>IFERROR(Table5[[#This Row],[Circular Feedstock Mass (kg)]]*Table5[[#This Row],[Process Yield (%)]], " ")</f>
        <v>0</v>
      </c>
      <c r="F434" s="2" t="str">
        <f>IFERROR(Table5[[#This Row],[Net Circular Mass (kg)]]/Table5[[#This Row],[Total Output Mass (kg)]], "")</f>
        <v/>
      </c>
    </row>
    <row r="435" spans="5:6">
      <c r="E435" s="7">
        <f>IFERROR(Table5[[#This Row],[Circular Feedstock Mass (kg)]]*Table5[[#This Row],[Process Yield (%)]], " ")</f>
        <v>0</v>
      </c>
      <c r="F435" s="2" t="str">
        <f>IFERROR(Table5[[#This Row],[Net Circular Mass (kg)]]/Table5[[#This Row],[Total Output Mass (kg)]], "")</f>
        <v/>
      </c>
    </row>
    <row r="436" spans="5:6">
      <c r="E436" s="7">
        <f>IFERROR(Table5[[#This Row],[Circular Feedstock Mass (kg)]]*Table5[[#This Row],[Process Yield (%)]], " ")</f>
        <v>0</v>
      </c>
      <c r="F436" s="2" t="str">
        <f>IFERROR(Table5[[#This Row],[Net Circular Mass (kg)]]/Table5[[#This Row],[Total Output Mass (kg)]], "")</f>
        <v/>
      </c>
    </row>
    <row r="437" spans="5:6">
      <c r="E437" s="7">
        <f>IFERROR(Table5[[#This Row],[Circular Feedstock Mass (kg)]]*Table5[[#This Row],[Process Yield (%)]], " ")</f>
        <v>0</v>
      </c>
      <c r="F437" s="2" t="str">
        <f>IFERROR(Table5[[#This Row],[Net Circular Mass (kg)]]/Table5[[#This Row],[Total Output Mass (kg)]], "")</f>
        <v/>
      </c>
    </row>
    <row r="438" spans="5:6">
      <c r="E438" s="7">
        <f>IFERROR(Table5[[#This Row],[Circular Feedstock Mass (kg)]]*Table5[[#This Row],[Process Yield (%)]], " ")</f>
        <v>0</v>
      </c>
      <c r="F438" s="2" t="str">
        <f>IFERROR(Table5[[#This Row],[Net Circular Mass (kg)]]/Table5[[#This Row],[Total Output Mass (kg)]], "")</f>
        <v/>
      </c>
    </row>
    <row r="439" spans="5:6">
      <c r="E439" s="7">
        <f>IFERROR(Table5[[#This Row],[Circular Feedstock Mass (kg)]]*Table5[[#This Row],[Process Yield (%)]], " ")</f>
        <v>0</v>
      </c>
      <c r="F439" s="2" t="str">
        <f>IFERROR(Table5[[#This Row],[Net Circular Mass (kg)]]/Table5[[#This Row],[Total Output Mass (kg)]], "")</f>
        <v/>
      </c>
    </row>
    <row r="440" spans="5:6">
      <c r="E440" s="7">
        <f>IFERROR(Table5[[#This Row],[Circular Feedstock Mass (kg)]]*Table5[[#This Row],[Process Yield (%)]], " ")</f>
        <v>0</v>
      </c>
      <c r="F440" s="2" t="str">
        <f>IFERROR(Table5[[#This Row],[Net Circular Mass (kg)]]/Table5[[#This Row],[Total Output Mass (kg)]], "")</f>
        <v/>
      </c>
    </row>
    <row r="441" spans="5:6">
      <c r="E441" s="7">
        <f>IFERROR(Table5[[#This Row],[Circular Feedstock Mass (kg)]]*Table5[[#This Row],[Process Yield (%)]], " ")</f>
        <v>0</v>
      </c>
      <c r="F441" s="2" t="str">
        <f>IFERROR(Table5[[#This Row],[Net Circular Mass (kg)]]/Table5[[#This Row],[Total Output Mass (kg)]], "")</f>
        <v/>
      </c>
    </row>
    <row r="442" spans="5:6">
      <c r="E442" s="7">
        <f>IFERROR(Table5[[#This Row],[Circular Feedstock Mass (kg)]]*Table5[[#This Row],[Process Yield (%)]], " ")</f>
        <v>0</v>
      </c>
      <c r="F442" s="2" t="str">
        <f>IFERROR(Table5[[#This Row],[Net Circular Mass (kg)]]/Table5[[#This Row],[Total Output Mass (kg)]], "")</f>
        <v/>
      </c>
    </row>
    <row r="443" spans="5:6">
      <c r="E443" s="7">
        <f>IFERROR(Table5[[#This Row],[Circular Feedstock Mass (kg)]]*Table5[[#This Row],[Process Yield (%)]], " ")</f>
        <v>0</v>
      </c>
      <c r="F443" s="2" t="str">
        <f>IFERROR(Table5[[#This Row],[Net Circular Mass (kg)]]/Table5[[#This Row],[Total Output Mass (kg)]], "")</f>
        <v/>
      </c>
    </row>
    <row r="444" spans="5:6">
      <c r="E444" s="7">
        <f>IFERROR(Table5[[#This Row],[Circular Feedstock Mass (kg)]]*Table5[[#This Row],[Process Yield (%)]], " ")</f>
        <v>0</v>
      </c>
      <c r="F444" s="2" t="str">
        <f>IFERROR(Table5[[#This Row],[Net Circular Mass (kg)]]/Table5[[#This Row],[Total Output Mass (kg)]], "")</f>
        <v/>
      </c>
    </row>
    <row r="445" spans="5:6">
      <c r="E445" s="7">
        <f>IFERROR(Table5[[#This Row],[Circular Feedstock Mass (kg)]]*Table5[[#This Row],[Process Yield (%)]], " ")</f>
        <v>0</v>
      </c>
      <c r="F445" s="2" t="str">
        <f>IFERROR(Table5[[#This Row],[Net Circular Mass (kg)]]/Table5[[#This Row],[Total Output Mass (kg)]], "")</f>
        <v/>
      </c>
    </row>
    <row r="446" spans="5:6">
      <c r="E446" s="7">
        <f>IFERROR(Table5[[#This Row],[Circular Feedstock Mass (kg)]]*Table5[[#This Row],[Process Yield (%)]], " ")</f>
        <v>0</v>
      </c>
      <c r="F446" s="2" t="str">
        <f>IFERROR(Table5[[#This Row],[Net Circular Mass (kg)]]/Table5[[#This Row],[Total Output Mass (kg)]], "")</f>
        <v/>
      </c>
    </row>
    <row r="447" spans="5:6">
      <c r="E447" s="7">
        <f>IFERROR(Table5[[#This Row],[Circular Feedstock Mass (kg)]]*Table5[[#This Row],[Process Yield (%)]], " ")</f>
        <v>0</v>
      </c>
      <c r="F447" s="2" t="str">
        <f>IFERROR(Table5[[#This Row],[Net Circular Mass (kg)]]/Table5[[#This Row],[Total Output Mass (kg)]], "")</f>
        <v/>
      </c>
    </row>
    <row r="448" spans="5:6">
      <c r="E448" s="7">
        <f>IFERROR(Table5[[#This Row],[Circular Feedstock Mass (kg)]]*Table5[[#This Row],[Process Yield (%)]], " ")</f>
        <v>0</v>
      </c>
      <c r="F448" s="2" t="str">
        <f>IFERROR(Table5[[#This Row],[Net Circular Mass (kg)]]/Table5[[#This Row],[Total Output Mass (kg)]], "")</f>
        <v/>
      </c>
    </row>
    <row r="449" spans="5:6">
      <c r="E449" s="7">
        <f>IFERROR(Table5[[#This Row],[Circular Feedstock Mass (kg)]]*Table5[[#This Row],[Process Yield (%)]], " ")</f>
        <v>0</v>
      </c>
      <c r="F449" s="2" t="str">
        <f>IFERROR(Table5[[#This Row],[Net Circular Mass (kg)]]/Table5[[#This Row],[Total Output Mass (kg)]], "")</f>
        <v/>
      </c>
    </row>
    <row r="450" spans="5:6">
      <c r="E450" s="7">
        <f>IFERROR(Table5[[#This Row],[Circular Feedstock Mass (kg)]]*Table5[[#This Row],[Process Yield (%)]], " ")</f>
        <v>0</v>
      </c>
      <c r="F450" s="2" t="str">
        <f>IFERROR(Table5[[#This Row],[Net Circular Mass (kg)]]/Table5[[#This Row],[Total Output Mass (kg)]], "")</f>
        <v/>
      </c>
    </row>
    <row r="451" spans="5:6">
      <c r="E451" s="7">
        <f>IFERROR(Table5[[#This Row],[Circular Feedstock Mass (kg)]]*Table5[[#This Row],[Process Yield (%)]], " ")</f>
        <v>0</v>
      </c>
      <c r="F451" s="2" t="str">
        <f>IFERROR(Table5[[#This Row],[Net Circular Mass (kg)]]/Table5[[#This Row],[Total Output Mass (kg)]], "")</f>
        <v/>
      </c>
    </row>
    <row r="452" spans="5:6">
      <c r="E452" s="7">
        <f>IFERROR(Table5[[#This Row],[Circular Feedstock Mass (kg)]]*Table5[[#This Row],[Process Yield (%)]], " ")</f>
        <v>0</v>
      </c>
      <c r="F452" s="2" t="str">
        <f>IFERROR(Table5[[#This Row],[Net Circular Mass (kg)]]/Table5[[#This Row],[Total Output Mass (kg)]], "")</f>
        <v/>
      </c>
    </row>
    <row r="453" spans="5:6">
      <c r="E453" s="7">
        <f>IFERROR(Table5[[#This Row],[Circular Feedstock Mass (kg)]]*Table5[[#This Row],[Process Yield (%)]], " ")</f>
        <v>0</v>
      </c>
      <c r="F453" s="2" t="str">
        <f>IFERROR(Table5[[#This Row],[Net Circular Mass (kg)]]/Table5[[#This Row],[Total Output Mass (kg)]], "")</f>
        <v/>
      </c>
    </row>
    <row r="454" spans="5:6">
      <c r="E454" s="7">
        <f>IFERROR(Table5[[#This Row],[Circular Feedstock Mass (kg)]]*Table5[[#This Row],[Process Yield (%)]], " ")</f>
        <v>0</v>
      </c>
      <c r="F454" s="2" t="str">
        <f>IFERROR(Table5[[#This Row],[Net Circular Mass (kg)]]/Table5[[#This Row],[Total Output Mass (kg)]], "")</f>
        <v/>
      </c>
    </row>
    <row r="455" spans="5:6">
      <c r="E455" s="7">
        <f>IFERROR(Table5[[#This Row],[Circular Feedstock Mass (kg)]]*Table5[[#This Row],[Process Yield (%)]], " ")</f>
        <v>0</v>
      </c>
      <c r="F455" s="2" t="str">
        <f>IFERROR(Table5[[#This Row],[Net Circular Mass (kg)]]/Table5[[#This Row],[Total Output Mass (kg)]], "")</f>
        <v/>
      </c>
    </row>
    <row r="456" spans="5:6">
      <c r="E456" s="7">
        <f>IFERROR(Table5[[#This Row],[Circular Feedstock Mass (kg)]]*Table5[[#This Row],[Process Yield (%)]], " ")</f>
        <v>0</v>
      </c>
      <c r="F456" s="2" t="str">
        <f>IFERROR(Table5[[#This Row],[Net Circular Mass (kg)]]/Table5[[#This Row],[Total Output Mass (kg)]], "")</f>
        <v/>
      </c>
    </row>
    <row r="457" spans="5:6">
      <c r="E457" s="7">
        <f>IFERROR(Table5[[#This Row],[Circular Feedstock Mass (kg)]]*Table5[[#This Row],[Process Yield (%)]], " ")</f>
        <v>0</v>
      </c>
      <c r="F457" s="2" t="str">
        <f>IFERROR(Table5[[#This Row],[Net Circular Mass (kg)]]/Table5[[#This Row],[Total Output Mass (kg)]], "")</f>
        <v/>
      </c>
    </row>
    <row r="458" spans="5:6">
      <c r="E458" s="7">
        <f>IFERROR(Table5[[#This Row],[Circular Feedstock Mass (kg)]]*Table5[[#This Row],[Process Yield (%)]], " ")</f>
        <v>0</v>
      </c>
      <c r="F458" s="2" t="str">
        <f>IFERROR(Table5[[#This Row],[Net Circular Mass (kg)]]/Table5[[#This Row],[Total Output Mass (kg)]], "")</f>
        <v/>
      </c>
    </row>
    <row r="459" spans="5:6">
      <c r="E459" s="7">
        <f>IFERROR(Table5[[#This Row],[Circular Feedstock Mass (kg)]]*Table5[[#This Row],[Process Yield (%)]], " ")</f>
        <v>0</v>
      </c>
      <c r="F459" s="2" t="str">
        <f>IFERROR(Table5[[#This Row],[Net Circular Mass (kg)]]/Table5[[#This Row],[Total Output Mass (kg)]], "")</f>
        <v/>
      </c>
    </row>
    <row r="460" spans="5:6">
      <c r="E460" s="7">
        <f>IFERROR(Table5[[#This Row],[Circular Feedstock Mass (kg)]]*Table5[[#This Row],[Process Yield (%)]], " ")</f>
        <v>0</v>
      </c>
      <c r="F460" s="2" t="str">
        <f>IFERROR(Table5[[#This Row],[Net Circular Mass (kg)]]/Table5[[#This Row],[Total Output Mass (kg)]], "")</f>
        <v/>
      </c>
    </row>
    <row r="461" spans="5:6">
      <c r="E461" s="7">
        <f>IFERROR(Table5[[#This Row],[Circular Feedstock Mass (kg)]]*Table5[[#This Row],[Process Yield (%)]], " ")</f>
        <v>0</v>
      </c>
      <c r="F461" s="2" t="str">
        <f>IFERROR(Table5[[#This Row],[Net Circular Mass (kg)]]/Table5[[#This Row],[Total Output Mass (kg)]], "")</f>
        <v/>
      </c>
    </row>
    <row r="462" spans="5:6">
      <c r="E462" s="7">
        <f>IFERROR(Table5[[#This Row],[Circular Feedstock Mass (kg)]]*Table5[[#This Row],[Process Yield (%)]], " ")</f>
        <v>0</v>
      </c>
      <c r="F462" s="2" t="str">
        <f>IFERROR(Table5[[#This Row],[Net Circular Mass (kg)]]/Table5[[#This Row],[Total Output Mass (kg)]], "")</f>
        <v/>
      </c>
    </row>
    <row r="463" spans="5:6">
      <c r="E463" s="7">
        <f>IFERROR(Table5[[#This Row],[Circular Feedstock Mass (kg)]]*Table5[[#This Row],[Process Yield (%)]], " ")</f>
        <v>0</v>
      </c>
      <c r="F463" s="2" t="str">
        <f>IFERROR(Table5[[#This Row],[Net Circular Mass (kg)]]/Table5[[#This Row],[Total Output Mass (kg)]], "")</f>
        <v/>
      </c>
    </row>
    <row r="464" spans="5:6">
      <c r="E464" s="7">
        <f>IFERROR(Table5[[#This Row],[Circular Feedstock Mass (kg)]]*Table5[[#This Row],[Process Yield (%)]], " ")</f>
        <v>0</v>
      </c>
      <c r="F464" s="2" t="str">
        <f>IFERROR(Table5[[#This Row],[Net Circular Mass (kg)]]/Table5[[#This Row],[Total Output Mass (kg)]], "")</f>
        <v/>
      </c>
    </row>
    <row r="465" spans="5:6">
      <c r="E465" s="7">
        <f>IFERROR(Table5[[#This Row],[Circular Feedstock Mass (kg)]]*Table5[[#This Row],[Process Yield (%)]], " ")</f>
        <v>0</v>
      </c>
      <c r="F465" s="2" t="str">
        <f>IFERROR(Table5[[#This Row],[Net Circular Mass (kg)]]/Table5[[#This Row],[Total Output Mass (kg)]], "")</f>
        <v/>
      </c>
    </row>
    <row r="466" spans="5:6">
      <c r="E466" s="7">
        <f>IFERROR(Table5[[#This Row],[Circular Feedstock Mass (kg)]]*Table5[[#This Row],[Process Yield (%)]], " ")</f>
        <v>0</v>
      </c>
      <c r="F466" s="2" t="str">
        <f>IFERROR(Table5[[#This Row],[Net Circular Mass (kg)]]/Table5[[#This Row],[Total Output Mass (kg)]], "")</f>
        <v/>
      </c>
    </row>
    <row r="467" spans="5:6">
      <c r="E467" s="7">
        <f>IFERROR(Table5[[#This Row],[Circular Feedstock Mass (kg)]]*Table5[[#This Row],[Process Yield (%)]], " ")</f>
        <v>0</v>
      </c>
      <c r="F467" s="2" t="str">
        <f>IFERROR(Table5[[#This Row],[Net Circular Mass (kg)]]/Table5[[#This Row],[Total Output Mass (kg)]], "")</f>
        <v/>
      </c>
    </row>
    <row r="468" spans="5:6">
      <c r="E468" s="7">
        <f>IFERROR(Table5[[#This Row],[Circular Feedstock Mass (kg)]]*Table5[[#This Row],[Process Yield (%)]], " ")</f>
        <v>0</v>
      </c>
      <c r="F468" s="2" t="str">
        <f>IFERROR(Table5[[#This Row],[Net Circular Mass (kg)]]/Table5[[#This Row],[Total Output Mass (kg)]], "")</f>
        <v/>
      </c>
    </row>
    <row r="469" spans="5:6">
      <c r="E469" s="7">
        <f>IFERROR(Table5[[#This Row],[Circular Feedstock Mass (kg)]]*Table5[[#This Row],[Process Yield (%)]], " ")</f>
        <v>0</v>
      </c>
      <c r="F469" s="2" t="str">
        <f>IFERROR(Table5[[#This Row],[Net Circular Mass (kg)]]/Table5[[#This Row],[Total Output Mass (kg)]], "")</f>
        <v/>
      </c>
    </row>
    <row r="470" spans="5:6">
      <c r="E470" s="7">
        <f>IFERROR(Table5[[#This Row],[Circular Feedstock Mass (kg)]]*Table5[[#This Row],[Process Yield (%)]], " ")</f>
        <v>0</v>
      </c>
      <c r="F470" s="2" t="str">
        <f>IFERROR(Table5[[#This Row],[Net Circular Mass (kg)]]/Table5[[#This Row],[Total Output Mass (kg)]], "")</f>
        <v/>
      </c>
    </row>
    <row r="471" spans="5:6">
      <c r="E471" s="7">
        <f>IFERROR(Table5[[#This Row],[Circular Feedstock Mass (kg)]]*Table5[[#This Row],[Process Yield (%)]], " ")</f>
        <v>0</v>
      </c>
      <c r="F471" s="2" t="str">
        <f>IFERROR(Table5[[#This Row],[Net Circular Mass (kg)]]/Table5[[#This Row],[Total Output Mass (kg)]], "")</f>
        <v/>
      </c>
    </row>
    <row r="472" spans="5:6">
      <c r="E472" s="7">
        <f>IFERROR(Table5[[#This Row],[Circular Feedstock Mass (kg)]]*Table5[[#This Row],[Process Yield (%)]], " ")</f>
        <v>0</v>
      </c>
      <c r="F472" s="2" t="str">
        <f>IFERROR(Table5[[#This Row],[Net Circular Mass (kg)]]/Table5[[#This Row],[Total Output Mass (kg)]], "")</f>
        <v/>
      </c>
    </row>
    <row r="473" spans="5:6">
      <c r="E473" s="7">
        <f>IFERROR(Table5[[#This Row],[Circular Feedstock Mass (kg)]]*Table5[[#This Row],[Process Yield (%)]], " ")</f>
        <v>0</v>
      </c>
      <c r="F473" s="2" t="str">
        <f>IFERROR(Table5[[#This Row],[Net Circular Mass (kg)]]/Table5[[#This Row],[Total Output Mass (kg)]], "")</f>
        <v/>
      </c>
    </row>
    <row r="474" spans="5:6">
      <c r="E474" s="7">
        <f>IFERROR(Table5[[#This Row],[Circular Feedstock Mass (kg)]]*Table5[[#This Row],[Process Yield (%)]], " ")</f>
        <v>0</v>
      </c>
      <c r="F474" s="2" t="str">
        <f>IFERROR(Table5[[#This Row],[Net Circular Mass (kg)]]/Table5[[#This Row],[Total Output Mass (kg)]], "")</f>
        <v/>
      </c>
    </row>
    <row r="475" spans="5:6">
      <c r="E475" s="7">
        <f>IFERROR(Table5[[#This Row],[Circular Feedstock Mass (kg)]]*Table5[[#This Row],[Process Yield (%)]], " ")</f>
        <v>0</v>
      </c>
      <c r="F475" s="2" t="str">
        <f>IFERROR(Table5[[#This Row],[Net Circular Mass (kg)]]/Table5[[#This Row],[Total Output Mass (kg)]], "")</f>
        <v/>
      </c>
    </row>
    <row r="476" spans="5:6">
      <c r="E476" s="7">
        <f>IFERROR(Table5[[#This Row],[Circular Feedstock Mass (kg)]]*Table5[[#This Row],[Process Yield (%)]], " ")</f>
        <v>0</v>
      </c>
      <c r="F476" s="2" t="str">
        <f>IFERROR(Table5[[#This Row],[Net Circular Mass (kg)]]/Table5[[#This Row],[Total Output Mass (kg)]], "")</f>
        <v/>
      </c>
    </row>
    <row r="477" spans="5:6">
      <c r="E477" s="7">
        <f>IFERROR(Table5[[#This Row],[Circular Feedstock Mass (kg)]]*Table5[[#This Row],[Process Yield (%)]], " ")</f>
        <v>0</v>
      </c>
      <c r="F477" s="2" t="str">
        <f>IFERROR(Table5[[#This Row],[Net Circular Mass (kg)]]/Table5[[#This Row],[Total Output Mass (kg)]], "")</f>
        <v/>
      </c>
    </row>
    <row r="478" spans="5:6">
      <c r="E478" s="7">
        <f>IFERROR(Table5[[#This Row],[Circular Feedstock Mass (kg)]]*Table5[[#This Row],[Process Yield (%)]], " ")</f>
        <v>0</v>
      </c>
      <c r="F478" s="2" t="str">
        <f>IFERROR(Table5[[#This Row],[Net Circular Mass (kg)]]/Table5[[#This Row],[Total Output Mass (kg)]], "")</f>
        <v/>
      </c>
    </row>
    <row r="479" spans="5:6">
      <c r="E479" s="7">
        <f>IFERROR(Table5[[#This Row],[Circular Feedstock Mass (kg)]]*Table5[[#This Row],[Process Yield (%)]], " ")</f>
        <v>0</v>
      </c>
      <c r="F479" s="2" t="str">
        <f>IFERROR(Table5[[#This Row],[Net Circular Mass (kg)]]/Table5[[#This Row],[Total Output Mass (kg)]], "")</f>
        <v/>
      </c>
    </row>
    <row r="480" spans="5:6">
      <c r="E480" s="7">
        <f>IFERROR(Table5[[#This Row],[Circular Feedstock Mass (kg)]]*Table5[[#This Row],[Process Yield (%)]], " ")</f>
        <v>0</v>
      </c>
      <c r="F480" s="2" t="str">
        <f>IFERROR(Table5[[#This Row],[Net Circular Mass (kg)]]/Table5[[#This Row],[Total Output Mass (kg)]], "")</f>
        <v/>
      </c>
    </row>
    <row r="481" spans="5:6">
      <c r="E481" s="7">
        <f>IFERROR(Table5[[#This Row],[Circular Feedstock Mass (kg)]]*Table5[[#This Row],[Process Yield (%)]], " ")</f>
        <v>0</v>
      </c>
      <c r="F481" s="2" t="str">
        <f>IFERROR(Table5[[#This Row],[Net Circular Mass (kg)]]/Table5[[#This Row],[Total Output Mass (kg)]], "")</f>
        <v/>
      </c>
    </row>
    <row r="482" spans="5:6">
      <c r="E482" s="7">
        <f>IFERROR(Table5[[#This Row],[Circular Feedstock Mass (kg)]]*Table5[[#This Row],[Process Yield (%)]], " ")</f>
        <v>0</v>
      </c>
      <c r="F482" s="2" t="str">
        <f>IFERROR(Table5[[#This Row],[Net Circular Mass (kg)]]/Table5[[#This Row],[Total Output Mass (kg)]], "")</f>
        <v/>
      </c>
    </row>
    <row r="483" spans="5:6">
      <c r="E483" s="7">
        <f>IFERROR(Table5[[#This Row],[Circular Feedstock Mass (kg)]]*Table5[[#This Row],[Process Yield (%)]], " ")</f>
        <v>0</v>
      </c>
      <c r="F483" s="2" t="str">
        <f>IFERROR(Table5[[#This Row],[Net Circular Mass (kg)]]/Table5[[#This Row],[Total Output Mass (kg)]], "")</f>
        <v/>
      </c>
    </row>
    <row r="484" spans="5:6">
      <c r="E484" s="7">
        <f>IFERROR(Table5[[#This Row],[Circular Feedstock Mass (kg)]]*Table5[[#This Row],[Process Yield (%)]], " ")</f>
        <v>0</v>
      </c>
      <c r="F484" s="2" t="str">
        <f>IFERROR(Table5[[#This Row],[Net Circular Mass (kg)]]/Table5[[#This Row],[Total Output Mass (kg)]], "")</f>
        <v/>
      </c>
    </row>
    <row r="485" spans="5:6">
      <c r="E485" s="7">
        <f>IFERROR(Table5[[#This Row],[Circular Feedstock Mass (kg)]]*Table5[[#This Row],[Process Yield (%)]], " ")</f>
        <v>0</v>
      </c>
      <c r="F485" s="2" t="str">
        <f>IFERROR(Table5[[#This Row],[Net Circular Mass (kg)]]/Table5[[#This Row],[Total Output Mass (kg)]], "")</f>
        <v/>
      </c>
    </row>
    <row r="486" spans="5:6">
      <c r="E486" s="7">
        <f>IFERROR(Table5[[#This Row],[Circular Feedstock Mass (kg)]]*Table5[[#This Row],[Process Yield (%)]], " ")</f>
        <v>0</v>
      </c>
      <c r="F486" s="2" t="str">
        <f>IFERROR(Table5[[#This Row],[Net Circular Mass (kg)]]/Table5[[#This Row],[Total Output Mass (kg)]], "")</f>
        <v/>
      </c>
    </row>
    <row r="487" spans="5:6">
      <c r="E487" s="7">
        <f>IFERROR(Table5[[#This Row],[Circular Feedstock Mass (kg)]]*Table5[[#This Row],[Process Yield (%)]], " ")</f>
        <v>0</v>
      </c>
      <c r="F487" s="2" t="str">
        <f>IFERROR(Table5[[#This Row],[Net Circular Mass (kg)]]/Table5[[#This Row],[Total Output Mass (kg)]], "")</f>
        <v/>
      </c>
    </row>
    <row r="488" spans="5:6">
      <c r="E488" s="7">
        <f>IFERROR(Table5[[#This Row],[Circular Feedstock Mass (kg)]]*Table5[[#This Row],[Process Yield (%)]], " ")</f>
        <v>0</v>
      </c>
      <c r="F488" s="2" t="str">
        <f>IFERROR(Table5[[#This Row],[Net Circular Mass (kg)]]/Table5[[#This Row],[Total Output Mass (kg)]], "")</f>
        <v/>
      </c>
    </row>
    <row r="489" spans="5:6">
      <c r="E489" s="7">
        <f>IFERROR(Table5[[#This Row],[Circular Feedstock Mass (kg)]]*Table5[[#This Row],[Process Yield (%)]], " ")</f>
        <v>0</v>
      </c>
      <c r="F489" s="2" t="str">
        <f>IFERROR(Table5[[#This Row],[Net Circular Mass (kg)]]/Table5[[#This Row],[Total Output Mass (kg)]], "")</f>
        <v/>
      </c>
    </row>
    <row r="490" spans="5:6">
      <c r="E490" s="7">
        <f>IFERROR(Table5[[#This Row],[Circular Feedstock Mass (kg)]]*Table5[[#This Row],[Process Yield (%)]], " ")</f>
        <v>0</v>
      </c>
      <c r="F490" s="2" t="str">
        <f>IFERROR(Table5[[#This Row],[Net Circular Mass (kg)]]/Table5[[#This Row],[Total Output Mass (kg)]], "")</f>
        <v/>
      </c>
    </row>
    <row r="491" spans="5:6">
      <c r="E491" s="7">
        <f>IFERROR(Table5[[#This Row],[Circular Feedstock Mass (kg)]]*Table5[[#This Row],[Process Yield (%)]], " ")</f>
        <v>0</v>
      </c>
      <c r="F491" s="2" t="str">
        <f>IFERROR(Table5[[#This Row],[Net Circular Mass (kg)]]/Table5[[#This Row],[Total Output Mass (kg)]], "")</f>
        <v/>
      </c>
    </row>
    <row r="492" spans="5:6">
      <c r="E492" s="7">
        <f>IFERROR(Table5[[#This Row],[Circular Feedstock Mass (kg)]]*Table5[[#This Row],[Process Yield (%)]], " ")</f>
        <v>0</v>
      </c>
      <c r="F492" s="2" t="str">
        <f>IFERROR(Table5[[#This Row],[Net Circular Mass (kg)]]/Table5[[#This Row],[Total Output Mass (kg)]], "")</f>
        <v/>
      </c>
    </row>
    <row r="493" spans="5:6">
      <c r="E493" s="7">
        <f>IFERROR(Table5[[#This Row],[Circular Feedstock Mass (kg)]]*Table5[[#This Row],[Process Yield (%)]], " ")</f>
        <v>0</v>
      </c>
      <c r="F493" s="2" t="str">
        <f>IFERROR(Table5[[#This Row],[Net Circular Mass (kg)]]/Table5[[#This Row],[Total Output Mass (kg)]], "")</f>
        <v/>
      </c>
    </row>
    <row r="494" spans="5:6">
      <c r="E494" s="7">
        <f>IFERROR(Table5[[#This Row],[Circular Feedstock Mass (kg)]]*Table5[[#This Row],[Process Yield (%)]], " ")</f>
        <v>0</v>
      </c>
      <c r="F494" s="2" t="str">
        <f>IFERROR(Table5[[#This Row],[Net Circular Mass (kg)]]/Table5[[#This Row],[Total Output Mass (kg)]], "")</f>
        <v/>
      </c>
    </row>
    <row r="495" spans="5:6">
      <c r="E495" s="7">
        <f>IFERROR(Table5[[#This Row],[Circular Feedstock Mass (kg)]]*Table5[[#This Row],[Process Yield (%)]], " ")</f>
        <v>0</v>
      </c>
      <c r="F495" s="2" t="str">
        <f>IFERROR(Table5[[#This Row],[Net Circular Mass (kg)]]/Table5[[#This Row],[Total Output Mass (kg)]], "")</f>
        <v/>
      </c>
    </row>
    <row r="496" spans="5:6">
      <c r="E496" s="7">
        <f>IFERROR(Table5[[#This Row],[Circular Feedstock Mass (kg)]]*Table5[[#This Row],[Process Yield (%)]], " ")</f>
        <v>0</v>
      </c>
      <c r="F496" s="2" t="str">
        <f>IFERROR(Table5[[#This Row],[Net Circular Mass (kg)]]/Table5[[#This Row],[Total Output Mass (kg)]], "")</f>
        <v/>
      </c>
    </row>
    <row r="497" spans="5:6">
      <c r="E497" s="7">
        <f>IFERROR(Table5[[#This Row],[Circular Feedstock Mass (kg)]]*Table5[[#This Row],[Process Yield (%)]], " ")</f>
        <v>0</v>
      </c>
      <c r="F497" s="2" t="str">
        <f>IFERROR(Table5[[#This Row],[Net Circular Mass (kg)]]/Table5[[#This Row],[Total Output Mass (kg)]], "")</f>
        <v/>
      </c>
    </row>
    <row r="498" spans="5:6">
      <c r="E498" s="7">
        <f>IFERROR(Table5[[#This Row],[Circular Feedstock Mass (kg)]]*Table5[[#This Row],[Process Yield (%)]], " ")</f>
        <v>0</v>
      </c>
      <c r="F498" s="2" t="str">
        <f>IFERROR(Table5[[#This Row],[Net Circular Mass (kg)]]/Table5[[#This Row],[Total Output Mass (kg)]], "")</f>
        <v/>
      </c>
    </row>
    <row r="499" spans="5:6">
      <c r="E499" s="7">
        <f>IFERROR(Table5[[#This Row],[Circular Feedstock Mass (kg)]]*Table5[[#This Row],[Process Yield (%)]], " ")</f>
        <v>0</v>
      </c>
      <c r="F499" s="2" t="str">
        <f>IFERROR(Table5[[#This Row],[Net Circular Mass (kg)]]/Table5[[#This Row],[Total Output Mass (kg)]], "")</f>
        <v/>
      </c>
    </row>
    <row r="500" spans="5:6">
      <c r="E500" s="7">
        <f>IFERROR(Table5[[#This Row],[Circular Feedstock Mass (kg)]]*Table5[[#This Row],[Process Yield (%)]], " ")</f>
        <v>0</v>
      </c>
      <c r="F500" s="2" t="str">
        <f>IFERROR(Table5[[#This Row],[Net Circular Mass (kg)]]/Table5[[#This Row],[Total Output Mass (kg)]], "")</f>
        <v/>
      </c>
    </row>
  </sheetData>
  <dataValidations count="4">
    <dataValidation type="list" allowBlank="1" showInputMessage="1" showErrorMessage="1" sqref="A2:A500" xr:uid="{8D554263-B412-46AE-8A5E-CBB5B39D6E19}">
      <formula1>"ABS, GPPS, HDPE, HIPS, LLDPE, LDPE, PP, PVC, P-xylene, SM, SAN, VCM, Benzene, CPL, CX, Ethylene, Mixed C4, Toluene, Propylene"</formula1>
    </dataValidation>
    <dataValidation type="list" showDropDown="1" showInputMessage="1" showErrorMessage="1" sqref="E1:E1048576" xr:uid="{16F53C66-EA82-4F66-B858-79D4917274DA}">
      <formula1>" "</formula1>
    </dataValidation>
    <dataValidation type="list" allowBlank="1" showDropDown="1" showInputMessage="1" showErrorMessage="1" sqref="F1:F1048576" xr:uid="{7765F0DE-2C5D-4C28-8818-779FDD3312A9}">
      <formula1>"   "</formula1>
    </dataValidation>
    <dataValidation type="list" allowBlank="1" showInputMessage="1" showErrorMessage="1" sqref="G2:G500" xr:uid="{E63B3E3B-E1BE-4E56-A7A2-2829E36266C0}">
      <formula1>"Bio-naphtha, Pyrolysis Oil, Used Cooking Oil, Bio-Ethanol, ISCC Certificate"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FCCD-1FAD-4CA8-8FB0-67C686B7E177}">
  <dimension ref="A1:F38"/>
  <sheetViews>
    <sheetView topLeftCell="A14" workbookViewId="0">
      <selection activeCell="A27" sqref="A27"/>
    </sheetView>
  </sheetViews>
  <sheetFormatPr defaultRowHeight="14.25"/>
  <cols>
    <col min="1" max="1" width="25.25" customWidth="1"/>
    <col min="2" max="2" width="16.375" customWidth="1"/>
    <col min="3" max="3" width="16.25" customWidth="1"/>
    <col min="5" max="5" width="21" customWidth="1"/>
    <col min="6" max="6" width="20" customWidth="1"/>
  </cols>
  <sheetData>
    <row r="1" spans="1:6" ht="30.75" thickBot="1">
      <c r="A1" s="4" t="s">
        <v>7</v>
      </c>
      <c r="B1" s="4" t="s">
        <v>32</v>
      </c>
      <c r="C1" s="4" t="s">
        <v>33</v>
      </c>
      <c r="E1" s="4" t="s">
        <v>34</v>
      </c>
      <c r="F1" s="4" t="s">
        <v>35</v>
      </c>
    </row>
    <row r="2" spans="1:6" ht="15" thickBot="1">
      <c r="A2" s="5" t="s">
        <v>36</v>
      </c>
      <c r="B2" s="5" t="s">
        <v>37</v>
      </c>
      <c r="C2" s="5" t="s">
        <v>38</v>
      </c>
      <c r="E2" s="5" t="s">
        <v>39</v>
      </c>
      <c r="F2" s="5">
        <v>675</v>
      </c>
    </row>
    <row r="3" spans="1:6" ht="15" thickBot="1">
      <c r="A3" s="5" t="s">
        <v>40</v>
      </c>
      <c r="B3" s="5" t="s">
        <v>41</v>
      </c>
      <c r="C3" s="5" t="s">
        <v>42</v>
      </c>
      <c r="E3" s="5" t="s">
        <v>43</v>
      </c>
      <c r="F3" s="11">
        <v>1430</v>
      </c>
    </row>
    <row r="4" spans="1:6" ht="15" thickBot="1">
      <c r="A4" s="5" t="s">
        <v>44</v>
      </c>
      <c r="B4" s="5" t="s">
        <v>45</v>
      </c>
      <c r="C4" s="5" t="s">
        <v>42</v>
      </c>
      <c r="E4" s="5" t="s">
        <v>46</v>
      </c>
      <c r="F4" s="11">
        <v>1810</v>
      </c>
    </row>
    <row r="5" spans="1:6" ht="15" thickBot="1">
      <c r="A5" s="5" t="s">
        <v>47</v>
      </c>
      <c r="B5" s="5" t="s">
        <v>48</v>
      </c>
      <c r="C5" s="5" t="s">
        <v>49</v>
      </c>
      <c r="E5" s="5" t="s">
        <v>50</v>
      </c>
      <c r="F5" s="11">
        <v>2088</v>
      </c>
    </row>
    <row r="6" spans="1:6" ht="15" thickBot="1">
      <c r="A6" s="5" t="s">
        <v>51</v>
      </c>
      <c r="B6" s="5" t="s">
        <v>48</v>
      </c>
      <c r="C6" s="5" t="s">
        <v>49</v>
      </c>
      <c r="E6" s="5" t="s">
        <v>52</v>
      </c>
      <c r="F6" s="11">
        <v>3922</v>
      </c>
    </row>
    <row r="7" spans="1:6" ht="15" thickBot="1">
      <c r="A7" s="5" t="s">
        <v>53</v>
      </c>
      <c r="B7" s="5" t="s">
        <v>48</v>
      </c>
      <c r="C7" s="5" t="s">
        <v>49</v>
      </c>
    </row>
    <row r="8" spans="1:6" ht="15" thickBot="1">
      <c r="A8" s="5" t="s">
        <v>54</v>
      </c>
      <c r="B8" s="5" t="s">
        <v>48</v>
      </c>
      <c r="C8" s="5" t="s">
        <v>49</v>
      </c>
    </row>
    <row r="9" spans="1:6" ht="15" thickBot="1">
      <c r="A9" s="5" t="s">
        <v>55</v>
      </c>
      <c r="B9" s="5" t="s">
        <v>45</v>
      </c>
      <c r="C9" s="5" t="s">
        <v>56</v>
      </c>
    </row>
    <row r="10" spans="1:6" ht="15" thickBot="1">
      <c r="A10" s="5" t="s">
        <v>57</v>
      </c>
      <c r="B10" s="5" t="s">
        <v>45</v>
      </c>
      <c r="C10" s="5" t="s">
        <v>56</v>
      </c>
    </row>
    <row r="11" spans="1:6" ht="15" thickBot="1">
      <c r="A11" s="5" t="s">
        <v>58</v>
      </c>
      <c r="B11" s="5" t="s">
        <v>45</v>
      </c>
      <c r="C11" s="5" t="s">
        <v>56</v>
      </c>
    </row>
    <row r="14" spans="1:6" ht="15" thickBot="1"/>
    <row r="15" spans="1:6" ht="15" thickBot="1">
      <c r="A15" s="9" t="s">
        <v>59</v>
      </c>
      <c r="B15" s="9" t="s">
        <v>18</v>
      </c>
      <c r="C15" s="9" t="s">
        <v>60</v>
      </c>
    </row>
    <row r="16" spans="1:6" ht="26.25" thickBot="1">
      <c r="A16" s="8" t="s">
        <v>61</v>
      </c>
      <c r="B16" s="8" t="s">
        <v>62</v>
      </c>
      <c r="C16" s="8" t="s">
        <v>45</v>
      </c>
    </row>
    <row r="17" spans="1:3" ht="15" thickBot="1">
      <c r="A17" s="8" t="s">
        <v>63</v>
      </c>
      <c r="B17" s="8" t="s">
        <v>62</v>
      </c>
      <c r="C17" s="8" t="s">
        <v>45</v>
      </c>
    </row>
    <row r="18" spans="1:3" ht="26.25" thickBot="1">
      <c r="A18" s="8" t="s">
        <v>64</v>
      </c>
      <c r="B18" s="8" t="s">
        <v>62</v>
      </c>
      <c r="C18" s="8" t="s">
        <v>45</v>
      </c>
    </row>
    <row r="19" spans="1:3" ht="26.25" thickBot="1">
      <c r="A19" s="8" t="s">
        <v>65</v>
      </c>
      <c r="B19" s="8" t="s">
        <v>62</v>
      </c>
      <c r="C19" s="8" t="s">
        <v>45</v>
      </c>
    </row>
    <row r="20" spans="1:3" ht="15" thickBot="1">
      <c r="A20" s="8" t="s">
        <v>66</v>
      </c>
      <c r="B20" s="8" t="s">
        <v>62</v>
      </c>
      <c r="C20" s="8" t="s">
        <v>45</v>
      </c>
    </row>
    <row r="21" spans="1:3" ht="26.25" thickBot="1">
      <c r="A21" s="8" t="s">
        <v>67</v>
      </c>
      <c r="B21" s="8" t="s">
        <v>62</v>
      </c>
      <c r="C21" s="8" t="s">
        <v>68</v>
      </c>
    </row>
    <row r="22" spans="1:3" ht="26.25" thickBot="1">
      <c r="A22" s="8" t="s">
        <v>69</v>
      </c>
      <c r="B22" s="8" t="s">
        <v>70</v>
      </c>
      <c r="C22" s="8" t="s">
        <v>71</v>
      </c>
    </row>
    <row r="23" spans="1:3" ht="26.25" thickBot="1">
      <c r="A23" s="8" t="s">
        <v>72</v>
      </c>
      <c r="B23" s="8" t="s">
        <v>70</v>
      </c>
      <c r="C23" s="8" t="s">
        <v>73</v>
      </c>
    </row>
    <row r="24" spans="1:3" ht="15" thickBot="1">
      <c r="A24" s="8" t="s">
        <v>74</v>
      </c>
      <c r="B24" s="8" t="s">
        <v>70</v>
      </c>
      <c r="C24" s="8" t="s">
        <v>73</v>
      </c>
    </row>
    <row r="25" spans="1:3" ht="26.25" thickBot="1">
      <c r="A25" s="8" t="s">
        <v>75</v>
      </c>
      <c r="B25" s="8" t="s">
        <v>70</v>
      </c>
      <c r="C25" s="8" t="s">
        <v>76</v>
      </c>
    </row>
    <row r="26" spans="1:3" ht="15" thickBot="1">
      <c r="A26" s="8" t="s">
        <v>77</v>
      </c>
      <c r="B26" s="8" t="s">
        <v>70</v>
      </c>
      <c r="C26" s="8" t="s">
        <v>71</v>
      </c>
    </row>
    <row r="27" spans="1:3" ht="15" thickBot="1">
      <c r="A27" s="8" t="s">
        <v>78</v>
      </c>
      <c r="B27" s="8" t="s">
        <v>79</v>
      </c>
      <c r="C27" s="8" t="s">
        <v>45</v>
      </c>
    </row>
    <row r="28" spans="1:3" ht="15" thickBot="1">
      <c r="A28" s="8" t="s">
        <v>80</v>
      </c>
      <c r="B28" s="8" t="s">
        <v>79</v>
      </c>
      <c r="C28" s="8" t="s">
        <v>45</v>
      </c>
    </row>
    <row r="29" spans="1:3" ht="26.25" thickBot="1">
      <c r="A29" s="8" t="s">
        <v>81</v>
      </c>
      <c r="B29" s="8" t="s">
        <v>79</v>
      </c>
      <c r="C29" s="8" t="s">
        <v>45</v>
      </c>
    </row>
    <row r="30" spans="1:3" ht="15" thickBot="1">
      <c r="A30" s="8" t="s">
        <v>82</v>
      </c>
      <c r="B30" s="8" t="s">
        <v>79</v>
      </c>
      <c r="C30" s="8" t="s">
        <v>45</v>
      </c>
    </row>
    <row r="31" spans="1:3" ht="15" thickBot="1">
      <c r="A31" s="8" t="s">
        <v>83</v>
      </c>
      <c r="B31" s="8" t="s">
        <v>79</v>
      </c>
      <c r="C31" s="8" t="s">
        <v>45</v>
      </c>
    </row>
    <row r="32" spans="1:3" ht="15" thickBot="1">
      <c r="A32" s="8" t="s">
        <v>84</v>
      </c>
      <c r="B32" s="8" t="s">
        <v>79</v>
      </c>
      <c r="C32" s="8" t="s">
        <v>45</v>
      </c>
    </row>
    <row r="33" spans="1:3" ht="15" thickBot="1">
      <c r="A33" s="8" t="s">
        <v>85</v>
      </c>
      <c r="B33" s="8" t="s">
        <v>86</v>
      </c>
      <c r="C33" s="8" t="s">
        <v>45</v>
      </c>
    </row>
    <row r="34" spans="1:3" ht="15" thickBot="1">
      <c r="A34" s="8" t="s">
        <v>87</v>
      </c>
      <c r="B34" s="8" t="s">
        <v>86</v>
      </c>
      <c r="C34" s="8" t="s">
        <v>45</v>
      </c>
    </row>
    <row r="35" spans="1:3" ht="26.25" thickBot="1">
      <c r="A35" s="8" t="s">
        <v>88</v>
      </c>
      <c r="B35" s="8" t="s">
        <v>86</v>
      </c>
      <c r="C35" s="8" t="s">
        <v>45</v>
      </c>
    </row>
    <row r="36" spans="1:3" ht="26.25" thickBot="1">
      <c r="A36" s="8" t="s">
        <v>89</v>
      </c>
      <c r="B36" s="8" t="s">
        <v>86</v>
      </c>
      <c r="C36" s="8" t="s">
        <v>45</v>
      </c>
    </row>
    <row r="37" spans="1:3" ht="26.25" thickBot="1">
      <c r="A37" s="8" t="s">
        <v>90</v>
      </c>
      <c r="B37" s="8" t="s">
        <v>86</v>
      </c>
      <c r="C37" s="8" t="s">
        <v>45</v>
      </c>
    </row>
    <row r="38" spans="1:3">
      <c r="A38" s="10"/>
      <c r="B38" s="10"/>
      <c r="C3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2026-02-01T07:46:36Z</dcterms:created>
  <dcterms:modified xsi:type="dcterms:W3CDTF">2026-03-13T05:40:44Z</dcterms:modified>
  <cp:category/>
  <cp:contentStatus/>
</cp:coreProperties>
</file>